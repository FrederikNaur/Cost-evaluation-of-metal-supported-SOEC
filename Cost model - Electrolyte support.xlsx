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fskna_dtu_dk/Documents/Papers DTU Energy/Files/"/>
    </mc:Choice>
  </mc:AlternateContent>
  <xr:revisionPtr revIDLastSave="25" documentId="8_{21B2C352-9AF5-40C8-9F2A-874D10761F01}" xr6:coauthVersionLast="47" xr6:coauthVersionMax="47" xr10:uidLastSave="{357A82BF-BD53-4914-9045-9207EA022546}"/>
  <bookViews>
    <workbookView xWindow="38280" yWindow="-120" windowWidth="29040" windowHeight="15720" xr2:uid="{6B800C1E-3020-450D-98CF-85AAE588E4EC}"/>
  </bookViews>
  <sheets>
    <sheet name="Manufacturing results" sheetId="8" r:id="rId1"/>
    <sheet name="Performance" sheetId="11" r:id="rId2"/>
    <sheet name="Cross-layer" sheetId="1" r:id="rId3"/>
    <sheet name="Manufacturing inputs" sheetId="9" r:id="rId4"/>
    <sheet name="Cell" sheetId="2" r:id="rId5"/>
    <sheet name="Frame" sheetId="3" r:id="rId6"/>
    <sheet name="Misc" sheetId="6" r:id="rId7"/>
    <sheet name="Manufacturing calc" sheetId="10" r:id="rId8"/>
    <sheet name="Materials" sheetId="7" r:id="rId9"/>
    <sheet name="LHV" sheetId="15" r:id="rId10"/>
    <sheet name="Calculations" sheetId="5" r:id="rId11"/>
  </sheets>
  <externalReferences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1" l="1"/>
  <c r="L4" i="2"/>
  <c r="L5" i="2"/>
  <c r="L6" i="2"/>
  <c r="L7" i="2"/>
  <c r="L8" i="2"/>
  <c r="L9" i="2"/>
  <c r="L3" i="2"/>
  <c r="K4" i="3"/>
  <c r="H4" i="3"/>
  <c r="F11" i="11"/>
  <c r="F15" i="11"/>
  <c r="F17" i="11" s="1"/>
  <c r="B4" i="11" s="1"/>
  <c r="F14" i="11"/>
  <c r="F13" i="11"/>
  <c r="F6" i="11"/>
  <c r="B78" i="5"/>
  <c r="B68" i="5"/>
  <c r="E12" i="8"/>
  <c r="B40" i="9"/>
  <c r="A31" i="8"/>
  <c r="A32" i="8"/>
  <c r="A33" i="8"/>
  <c r="A34" i="8"/>
  <c r="A30" i="8"/>
  <c r="A40" i="8"/>
  <c r="K29" i="10" a="1"/>
  <c r="L29" i="10" s="1"/>
  <c r="K28" i="10" a="1"/>
  <c r="L28" i="10" s="1"/>
  <c r="K21" i="10" a="1"/>
  <c r="K20" i="10" a="1"/>
  <c r="K18" i="10" a="1"/>
  <c r="K15" i="10" a="1"/>
  <c r="K10" i="10" a="1"/>
  <c r="K7" i="10" a="1"/>
  <c r="L7" i="10" s="1"/>
  <c r="K4" i="10" a="1"/>
  <c r="S24" i="10"/>
  <c r="S16" i="10"/>
  <c r="E26" i="10"/>
  <c r="E25" i="10"/>
  <c r="M24" i="10"/>
  <c r="L24" i="10"/>
  <c r="F18" i="10"/>
  <c r="M16" i="10"/>
  <c r="L16" i="10"/>
  <c r="E6" i="10"/>
  <c r="B4" i="9"/>
  <c r="B44" i="9"/>
  <c r="B43" i="9"/>
  <c r="B41" i="9"/>
  <c r="B27" i="9"/>
  <c r="B39" i="9"/>
  <c r="B29" i="9"/>
  <c r="B20" i="9" s="1"/>
  <c r="B28" i="9"/>
  <c r="B26" i="9"/>
  <c r="I5" i="9"/>
  <c r="I4" i="9"/>
  <c r="I3" i="9"/>
  <c r="I2" i="9"/>
  <c r="B2" i="9"/>
  <c r="F16" i="11" l="1"/>
  <c r="J6" i="11"/>
  <c r="N25" i="10"/>
  <c r="N22" i="10"/>
  <c r="N21" i="10"/>
  <c r="N18" i="10"/>
  <c r="N14" i="10"/>
  <c r="N13" i="10"/>
  <c r="N11" i="10"/>
  <c r="N2" i="10"/>
  <c r="L10" i="10"/>
  <c r="M10" i="10" s="1"/>
  <c r="S10" i="10" s="1"/>
  <c r="L15" i="10"/>
  <c r="M7" i="10"/>
  <c r="S7" i="10" s="1"/>
  <c r="L18" i="10"/>
  <c r="M29" i="10"/>
  <c r="S29" i="10" s="1"/>
  <c r="L21" i="10"/>
  <c r="M28" i="10"/>
  <c r="S28" i="10" s="1"/>
  <c r="L20" i="10"/>
  <c r="L4" i="10"/>
  <c r="M4" i="10" s="1"/>
  <c r="S4" i="10" s="1"/>
  <c r="B42" i="9"/>
  <c r="C4" i="6"/>
  <c r="C3" i="6"/>
  <c r="E8" i="3"/>
  <c r="E7" i="3"/>
  <c r="C5" i="6"/>
  <c r="B79" i="5"/>
  <c r="G4" i="6"/>
  <c r="G3" i="6"/>
  <c r="B61" i="5"/>
  <c r="B62" i="5" s="1"/>
  <c r="B64" i="5"/>
  <c r="B50" i="5"/>
  <c r="B52" i="5" l="1"/>
  <c r="B53" i="5" s="1"/>
  <c r="B65" i="5" s="1"/>
  <c r="C14" i="7" s="1"/>
  <c r="H3" i="6" s="1"/>
  <c r="B74" i="5"/>
  <c r="B75" i="5" s="1"/>
  <c r="B81" i="5" s="1"/>
  <c r="C15" i="7" s="1"/>
  <c r="H4" i="6" s="1"/>
  <c r="I4" i="6" s="1"/>
  <c r="J4" i="6" s="1"/>
  <c r="O18" i="10"/>
  <c r="O21" i="10"/>
  <c r="M21" i="10"/>
  <c r="S21" i="10" s="1"/>
  <c r="M15" i="10"/>
  <c r="S15" i="10" s="1"/>
  <c r="M18" i="10"/>
  <c r="S18" i="10" s="1"/>
  <c r="M20" i="10"/>
  <c r="S20" i="10" s="1"/>
  <c r="D3" i="6" l="1"/>
  <c r="I3" i="6" s="1"/>
  <c r="E3" i="3"/>
  <c r="B63" i="8" s="1"/>
  <c r="B4" i="3"/>
  <c r="D4" i="3" s="1"/>
  <c r="B5" i="3"/>
  <c r="D5" i="3" s="1"/>
  <c r="B6" i="3"/>
  <c r="D6" i="3" s="1"/>
  <c r="B7" i="3"/>
  <c r="D7" i="3" s="1"/>
  <c r="B8" i="3"/>
  <c r="D8" i="3" s="1"/>
  <c r="B9" i="3"/>
  <c r="D9" i="3" s="1"/>
  <c r="B3" i="3"/>
  <c r="D3" i="3" s="1"/>
  <c r="C7" i="3"/>
  <c r="R2" i="3"/>
  <c r="G4" i="2"/>
  <c r="G5" i="2"/>
  <c r="G6" i="2"/>
  <c r="G7" i="2"/>
  <c r="G8" i="2"/>
  <c r="G9" i="2"/>
  <c r="G3" i="2"/>
  <c r="H5" i="2"/>
  <c r="I5" i="2" s="1"/>
  <c r="H6" i="2"/>
  <c r="I6" i="2" s="1"/>
  <c r="H7" i="2"/>
  <c r="C13" i="7"/>
  <c r="B13" i="7"/>
  <c r="C12" i="7"/>
  <c r="B12" i="7"/>
  <c r="C11" i="7"/>
  <c r="H4" i="2" s="1"/>
  <c r="B11" i="7"/>
  <c r="C4" i="2"/>
  <c r="C5" i="2"/>
  <c r="C6" i="2"/>
  <c r="C7" i="2"/>
  <c r="C8" i="2"/>
  <c r="H3" i="2"/>
  <c r="C3" i="2"/>
  <c r="C9" i="2"/>
  <c r="B27" i="1"/>
  <c r="B3" i="9" s="1"/>
  <c r="B26" i="1"/>
  <c r="B25" i="1"/>
  <c r="K4" i="6" s="1"/>
  <c r="B24" i="1"/>
  <c r="F10" i="11" s="1"/>
  <c r="B23" i="1"/>
  <c r="B22" i="1"/>
  <c r="B8" i="5"/>
  <c r="B7" i="5"/>
  <c r="B6" i="5"/>
  <c r="B5" i="5"/>
  <c r="B19" i="5"/>
  <c r="B20" i="5" s="1"/>
  <c r="B22" i="5"/>
  <c r="B13" i="5" l="1"/>
  <c r="B61" i="8"/>
  <c r="J8" i="11"/>
  <c r="B47" i="8" s="1"/>
  <c r="B48" i="8" s="1"/>
  <c r="J3" i="11"/>
  <c r="J4" i="11" s="1"/>
  <c r="J9" i="11" s="1"/>
  <c r="J10" i="11" s="1"/>
  <c r="B12" i="5"/>
  <c r="B60" i="8"/>
  <c r="B40" i="5"/>
  <c r="B28" i="5"/>
  <c r="B29" i="5" s="1"/>
  <c r="I3" i="2"/>
  <c r="I3" i="3"/>
  <c r="J3" i="3" s="1"/>
  <c r="I9" i="3"/>
  <c r="I4" i="2"/>
  <c r="J4" i="2" s="1"/>
  <c r="J5" i="9"/>
  <c r="B5" i="9"/>
  <c r="K9" i="2"/>
  <c r="K8" i="2"/>
  <c r="K7" i="2"/>
  <c r="K5" i="6"/>
  <c r="L5" i="6" s="1"/>
  <c r="K4" i="2"/>
  <c r="K3" i="2"/>
  <c r="B19" i="9"/>
  <c r="K6" i="2"/>
  <c r="M6" i="2" s="1"/>
  <c r="K5" i="2"/>
  <c r="M5" i="2" s="1"/>
  <c r="B21" i="9"/>
  <c r="B70" i="5"/>
  <c r="K3" i="6" s="1"/>
  <c r="M3" i="6" s="1"/>
  <c r="L4" i="3"/>
  <c r="L5" i="3"/>
  <c r="L6" i="3"/>
  <c r="L7" i="3"/>
  <c r="L8" i="3"/>
  <c r="L9" i="3"/>
  <c r="L3" i="3"/>
  <c r="C6" i="3"/>
  <c r="E6" i="3" s="1"/>
  <c r="C5" i="3"/>
  <c r="E5" i="3" s="1"/>
  <c r="C4" i="3"/>
  <c r="E4" i="3" s="1"/>
  <c r="J5" i="2"/>
  <c r="J3" i="2"/>
  <c r="J6" i="2"/>
  <c r="I7" i="2"/>
  <c r="J3" i="6"/>
  <c r="I8" i="3"/>
  <c r="I7" i="3"/>
  <c r="J7" i="3" s="1"/>
  <c r="I6" i="3"/>
  <c r="J6" i="3" s="1"/>
  <c r="I5" i="3"/>
  <c r="J5" i="3" s="1"/>
  <c r="I4" i="3"/>
  <c r="C9" i="3"/>
  <c r="E9" i="3" s="1"/>
  <c r="H8" i="2"/>
  <c r="I8" i="2" s="1"/>
  <c r="H9" i="2"/>
  <c r="I9" i="2" s="1"/>
  <c r="B23" i="5"/>
  <c r="B32" i="5"/>
  <c r="B34" i="5" s="1"/>
  <c r="B35" i="5" s="1"/>
  <c r="B13" i="1" s="1"/>
  <c r="B24" i="5"/>
  <c r="B39" i="5"/>
  <c r="N3" i="3" l="1"/>
  <c r="M3" i="2"/>
  <c r="J9" i="3"/>
  <c r="N9" i="3" s="1"/>
  <c r="M4" i="2"/>
  <c r="L3" i="6"/>
  <c r="M7" i="2"/>
  <c r="B64" i="8"/>
  <c r="B66" i="8" s="1"/>
  <c r="B59" i="8" s="1"/>
  <c r="B15" i="8"/>
  <c r="C15" i="8" s="1"/>
  <c r="B14" i="8"/>
  <c r="B17" i="8"/>
  <c r="C17" i="8" s="1"/>
  <c r="B16" i="8"/>
  <c r="C16" i="8" s="1"/>
  <c r="J5" i="11"/>
  <c r="J17" i="11"/>
  <c r="J18" i="11" s="1"/>
  <c r="B14" i="9"/>
  <c r="B7" i="9"/>
  <c r="B8" i="9" s="1"/>
  <c r="B22" i="9"/>
  <c r="V16" i="10"/>
  <c r="V24" i="10"/>
  <c r="V4" i="10"/>
  <c r="V28" i="10"/>
  <c r="V29" i="10"/>
  <c r="V7" i="10"/>
  <c r="V10" i="10"/>
  <c r="V20" i="10"/>
  <c r="V18" i="10"/>
  <c r="V15" i="10"/>
  <c r="C41" i="8" s="1"/>
  <c r="V21" i="10"/>
  <c r="K12" i="10"/>
  <c r="K11" i="10"/>
  <c r="G9" i="3"/>
  <c r="H9" i="3" s="1"/>
  <c r="G5" i="3"/>
  <c r="H5" i="3" s="1"/>
  <c r="G3" i="3"/>
  <c r="H3" i="3" s="1"/>
  <c r="K3" i="3" s="1"/>
  <c r="M3" i="3" s="1"/>
  <c r="G4" i="3"/>
  <c r="N29" i="10"/>
  <c r="O29" i="10" s="1"/>
  <c r="N28" i="10"/>
  <c r="O28" i="10" s="1"/>
  <c r="N27" i="10"/>
  <c r="N26" i="10"/>
  <c r="O26" i="10" s="1"/>
  <c r="N19" i="10"/>
  <c r="N15" i="10"/>
  <c r="O15" i="10" s="1"/>
  <c r="N12" i="10"/>
  <c r="N9" i="10"/>
  <c r="N8" i="10"/>
  <c r="N7" i="10"/>
  <c r="O7" i="10" s="1"/>
  <c r="N6" i="10"/>
  <c r="N5" i="10"/>
  <c r="N3" i="10"/>
  <c r="M4" i="6"/>
  <c r="L4" i="6"/>
  <c r="N24" i="10"/>
  <c r="O24" i="10" s="1"/>
  <c r="N23" i="10"/>
  <c r="N20" i="10"/>
  <c r="O20" i="10" s="1"/>
  <c r="N17" i="10"/>
  <c r="N16" i="10"/>
  <c r="O16" i="10" s="1"/>
  <c r="C28" i="8"/>
  <c r="B28" i="8"/>
  <c r="J4" i="3"/>
  <c r="J8" i="3"/>
  <c r="N8" i="3"/>
  <c r="J7" i="2"/>
  <c r="M8" i="2"/>
  <c r="J8" i="2"/>
  <c r="J9" i="2"/>
  <c r="B19" i="8" s="1"/>
  <c r="C19" i="8" s="1"/>
  <c r="M9" i="2"/>
  <c r="K5" i="3"/>
  <c r="M5" i="3" s="1"/>
  <c r="B23" i="8" s="1"/>
  <c r="C23" i="8" s="1"/>
  <c r="N5" i="3"/>
  <c r="N7" i="3"/>
  <c r="N4" i="3"/>
  <c r="N6" i="3"/>
  <c r="B42" i="5"/>
  <c r="B43" i="5" s="1"/>
  <c r="B12" i="1" s="1"/>
  <c r="K9" i="3" l="1"/>
  <c r="M9" i="3" s="1"/>
  <c r="B24" i="8" s="1"/>
  <c r="C24" i="8" s="1"/>
  <c r="C26" i="8"/>
  <c r="B26" i="8"/>
  <c r="F6" i="8"/>
  <c r="F4" i="8"/>
  <c r="M4" i="3"/>
  <c r="B21" i="8" s="1"/>
  <c r="C44" i="8"/>
  <c r="J7" i="11"/>
  <c r="J13" i="11" s="1"/>
  <c r="L11" i="10"/>
  <c r="L12" i="10"/>
  <c r="N10" i="10"/>
  <c r="N4" i="10"/>
  <c r="J4" i="9"/>
  <c r="J2" i="9"/>
  <c r="J3" i="9"/>
  <c r="G8" i="3"/>
  <c r="H8" i="3" s="1"/>
  <c r="K8" i="3" s="1"/>
  <c r="M8" i="3" s="1"/>
  <c r="G6" i="3"/>
  <c r="H6" i="3" s="1"/>
  <c r="K6" i="3" s="1"/>
  <c r="M6" i="3" s="1"/>
  <c r="G7" i="3"/>
  <c r="H7" i="3" s="1"/>
  <c r="K7" i="3" s="1"/>
  <c r="M7" i="3" s="1"/>
  <c r="B18" i="8"/>
  <c r="C18" i="8" s="1"/>
  <c r="D4" i="8"/>
  <c r="B4" i="8"/>
  <c r="C27" i="8"/>
  <c r="B27" i="8"/>
  <c r="D6" i="8"/>
  <c r="B6" i="8"/>
  <c r="C14" i="8"/>
  <c r="F5" i="8"/>
  <c r="B25" i="8" l="1"/>
  <c r="C13" i="8"/>
  <c r="C25" i="8"/>
  <c r="B5" i="8"/>
  <c r="F2" i="8"/>
  <c r="D5" i="8"/>
  <c r="P6" i="8"/>
  <c r="B54" i="8"/>
  <c r="O11" i="10"/>
  <c r="M11" i="10"/>
  <c r="S11" i="10" s="1"/>
  <c r="V11" i="10" s="1"/>
  <c r="O12" i="10"/>
  <c r="M12" i="10"/>
  <c r="S12" i="10" s="1"/>
  <c r="V12" i="10" s="1"/>
  <c r="P4" i="8"/>
  <c r="B52" i="8"/>
  <c r="B13" i="8"/>
  <c r="K25" i="10" a="1"/>
  <c r="K19" i="10" a="1"/>
  <c r="L19" i="10" s="1"/>
  <c r="K26" i="10" a="1"/>
  <c r="M26" i="10" s="1"/>
  <c r="S26" i="10" s="1"/>
  <c r="V26" i="10" s="1"/>
  <c r="K22" i="10" a="1"/>
  <c r="K17" i="10" a="1"/>
  <c r="K14" i="10" a="1"/>
  <c r="L14" i="10" s="1"/>
  <c r="K13" i="10" a="1"/>
  <c r="K8" i="10" a="1"/>
  <c r="K6" i="10" a="1"/>
  <c r="L6" i="10" s="1"/>
  <c r="K5" i="10" a="1"/>
  <c r="L5" i="10" s="1"/>
  <c r="K3" i="10" a="1"/>
  <c r="L3" i="10" s="1"/>
  <c r="K2" i="10" a="1"/>
  <c r="L2" i="10" s="1"/>
  <c r="K27" i="10" a="1"/>
  <c r="L27" i="10" s="1"/>
  <c r="K23" i="10" a="1"/>
  <c r="K9" i="10" a="1"/>
  <c r="L9" i="10" s="1"/>
  <c r="O4" i="10"/>
  <c r="R4" i="10" s="1"/>
  <c r="U4" i="10" s="1"/>
  <c r="P4" i="10"/>
  <c r="Q4" i="10" s="1"/>
  <c r="T4" i="10" s="1"/>
  <c r="W4" i="10" s="1"/>
  <c r="O10" i="10"/>
  <c r="R10" i="10" s="1"/>
  <c r="U10" i="10" s="1"/>
  <c r="P10" i="10"/>
  <c r="Q10" i="10" s="1"/>
  <c r="T10" i="10" s="1"/>
  <c r="W10" i="10" s="1"/>
  <c r="B22" i="8"/>
  <c r="C21" i="8"/>
  <c r="P5" i="8" l="1"/>
  <c r="B53" i="8"/>
  <c r="C22" i="8"/>
  <c r="C20" i="8" s="1"/>
  <c r="B20" i="8"/>
  <c r="M9" i="10"/>
  <c r="S9" i="10" s="1"/>
  <c r="V9" i="10" s="1"/>
  <c r="O9" i="10"/>
  <c r="L23" i="10"/>
  <c r="O23" i="10" s="1"/>
  <c r="M23" i="10"/>
  <c r="S23" i="10" s="1"/>
  <c r="V23" i="10" s="1"/>
  <c r="M27" i="10"/>
  <c r="S27" i="10" s="1"/>
  <c r="V27" i="10" s="1"/>
  <c r="O27" i="10"/>
  <c r="M2" i="10"/>
  <c r="S2" i="10" s="1"/>
  <c r="V2" i="10" s="1"/>
  <c r="O2" i="10"/>
  <c r="R2" i="10" s="1"/>
  <c r="U2" i="10" s="1"/>
  <c r="M3" i="10"/>
  <c r="S3" i="10" s="1"/>
  <c r="V3" i="10" s="1"/>
  <c r="O3" i="10"/>
  <c r="M5" i="10"/>
  <c r="S5" i="10" s="1"/>
  <c r="V5" i="10" s="1"/>
  <c r="O5" i="10"/>
  <c r="M6" i="10"/>
  <c r="S6" i="10" s="1"/>
  <c r="V6" i="10" s="1"/>
  <c r="O6" i="10"/>
  <c r="L8" i="10"/>
  <c r="L13" i="10"/>
  <c r="M14" i="10"/>
  <c r="S14" i="10" s="1"/>
  <c r="V14" i="10" s="1"/>
  <c r="O14" i="10"/>
  <c r="L17" i="10"/>
  <c r="L22" i="10"/>
  <c r="M19" i="10"/>
  <c r="S19" i="10" s="1"/>
  <c r="V19" i="10" s="1"/>
  <c r="O19" i="10"/>
  <c r="L25" i="10"/>
  <c r="O25" i="10" s="1"/>
  <c r="R25" i="10" s="1"/>
  <c r="U25" i="10" s="1"/>
  <c r="M25" i="10"/>
  <c r="S25" i="10" s="1"/>
  <c r="V25" i="10" s="1"/>
  <c r="C43" i="8" s="1"/>
  <c r="P2" i="10"/>
  <c r="Q2" i="10" s="1"/>
  <c r="T2" i="10" s="1"/>
  <c r="W2" i="10" s="1"/>
  <c r="P25" i="10"/>
  <c r="Q25" i="10" s="1"/>
  <c r="T25" i="10" s="1"/>
  <c r="W25" i="10" s="1"/>
  <c r="P21" i="10"/>
  <c r="Q21" i="10" s="1"/>
  <c r="T21" i="10" s="1"/>
  <c r="W21" i="10" s="1"/>
  <c r="R21" i="10"/>
  <c r="U21" i="10" s="1"/>
  <c r="R11" i="10"/>
  <c r="U11" i="10" s="1"/>
  <c r="P11" i="10"/>
  <c r="Q11" i="10" s="1"/>
  <c r="T11" i="10" s="1"/>
  <c r="W11" i="10" s="1"/>
  <c r="R14" i="10"/>
  <c r="U14" i="10" s="1"/>
  <c r="P14" i="10"/>
  <c r="Q14" i="10" s="1"/>
  <c r="T14" i="10" s="1"/>
  <c r="W14" i="10" s="1"/>
  <c r="P18" i="10"/>
  <c r="Q18" i="10" s="1"/>
  <c r="T18" i="10" s="1"/>
  <c r="W18" i="10" s="1"/>
  <c r="R18" i="10"/>
  <c r="U18" i="10" s="1"/>
  <c r="O8" i="10" l="1"/>
  <c r="M8" i="10"/>
  <c r="S8" i="10" s="1"/>
  <c r="V8" i="10" s="1"/>
  <c r="D8" i="8" s="1"/>
  <c r="B56" i="8" s="1"/>
  <c r="O13" i="10"/>
  <c r="R13" i="10" s="1"/>
  <c r="U13" i="10" s="1"/>
  <c r="M13" i="10"/>
  <c r="S13" i="10" s="1"/>
  <c r="V13" i="10" s="1"/>
  <c r="P13" i="10"/>
  <c r="Q13" i="10" s="1"/>
  <c r="T13" i="10" s="1"/>
  <c r="W13" i="10" s="1"/>
  <c r="O17" i="10"/>
  <c r="M17" i="10"/>
  <c r="S17" i="10" s="1"/>
  <c r="V17" i="10" s="1"/>
  <c r="O22" i="10"/>
  <c r="R22" i="10" s="1"/>
  <c r="U22" i="10" s="1"/>
  <c r="P22" i="10"/>
  <c r="Q22" i="10" s="1"/>
  <c r="T22" i="10" s="1"/>
  <c r="W22" i="10" s="1"/>
  <c r="M22" i="10"/>
  <c r="S22" i="10" s="1"/>
  <c r="V22" i="10" s="1"/>
  <c r="C42" i="8"/>
  <c r="C40" i="8"/>
  <c r="R3" i="10"/>
  <c r="U3" i="10" s="1"/>
  <c r="P3" i="10"/>
  <c r="Q3" i="10" s="1"/>
  <c r="T3" i="10" s="1"/>
  <c r="W3" i="10" s="1"/>
  <c r="R5" i="10"/>
  <c r="U5" i="10" s="1"/>
  <c r="P5" i="10"/>
  <c r="Q5" i="10" s="1"/>
  <c r="T5" i="10" s="1"/>
  <c r="W5" i="10" s="1"/>
  <c r="R20" i="10"/>
  <c r="U20" i="10" s="1"/>
  <c r="P20" i="10"/>
  <c r="Q20" i="10" s="1"/>
  <c r="T20" i="10" s="1"/>
  <c r="W20" i="10" s="1"/>
  <c r="P29" i="10"/>
  <c r="Q29" i="10" s="1"/>
  <c r="T29" i="10" s="1"/>
  <c r="W29" i="10" s="1"/>
  <c r="R29" i="10"/>
  <c r="U29" i="10" s="1"/>
  <c r="P16" i="10"/>
  <c r="Q16" i="10" s="1"/>
  <c r="T16" i="10" s="1"/>
  <c r="W16" i="10" s="1"/>
  <c r="R16" i="10"/>
  <c r="U16" i="10" s="1"/>
  <c r="R27" i="10"/>
  <c r="U27" i="10" s="1"/>
  <c r="P27" i="10"/>
  <c r="Q27" i="10" s="1"/>
  <c r="T27" i="10" s="1"/>
  <c r="W27" i="10" s="1"/>
  <c r="R19" i="10"/>
  <c r="U19" i="10" s="1"/>
  <c r="P19" i="10"/>
  <c r="Q19" i="10" s="1"/>
  <c r="T19" i="10" s="1"/>
  <c r="W19" i="10" s="1"/>
  <c r="P24" i="10"/>
  <c r="Q24" i="10" s="1"/>
  <c r="T24" i="10" s="1"/>
  <c r="W24" i="10" s="1"/>
  <c r="R24" i="10"/>
  <c r="U24" i="10" s="1"/>
  <c r="R15" i="10"/>
  <c r="U15" i="10" s="1"/>
  <c r="B41" i="8" s="1"/>
  <c r="P15" i="10"/>
  <c r="Q15" i="10" s="1"/>
  <c r="T15" i="10" s="1"/>
  <c r="W15" i="10" s="1"/>
  <c r="D41" i="8" s="1"/>
  <c r="P26" i="10"/>
  <c r="Q26" i="10" s="1"/>
  <c r="T26" i="10" s="1"/>
  <c r="W26" i="10" s="1"/>
  <c r="D43" i="8" s="1"/>
  <c r="R26" i="10"/>
  <c r="U26" i="10" s="1"/>
  <c r="P8" i="10"/>
  <c r="Q8" i="10" s="1"/>
  <c r="T8" i="10" s="1"/>
  <c r="W8" i="10" s="1"/>
  <c r="R8" i="10"/>
  <c r="U8" i="10" s="1"/>
  <c r="R7" i="10"/>
  <c r="U7" i="10" s="1"/>
  <c r="P7" i="10"/>
  <c r="Q7" i="10" s="1"/>
  <c r="T7" i="10" s="1"/>
  <c r="W7" i="10" s="1"/>
  <c r="R9" i="10"/>
  <c r="U9" i="10" s="1"/>
  <c r="P9" i="10"/>
  <c r="Q9" i="10" s="1"/>
  <c r="T9" i="10" s="1"/>
  <c r="W9" i="10" s="1"/>
  <c r="R23" i="10"/>
  <c r="U23" i="10" s="1"/>
  <c r="P23" i="10"/>
  <c r="Q23" i="10" s="1"/>
  <c r="T23" i="10" s="1"/>
  <c r="W23" i="10" s="1"/>
  <c r="P12" i="10"/>
  <c r="Q12" i="10" s="1"/>
  <c r="T12" i="10" s="1"/>
  <c r="W12" i="10" s="1"/>
  <c r="R12" i="10"/>
  <c r="U12" i="10" s="1"/>
  <c r="R6" i="10"/>
  <c r="U6" i="10" s="1"/>
  <c r="P6" i="10"/>
  <c r="Q6" i="10" s="1"/>
  <c r="T6" i="10" s="1"/>
  <c r="W6" i="10" s="1"/>
  <c r="P28" i="10"/>
  <c r="Q28" i="10" s="1"/>
  <c r="T28" i="10" s="1"/>
  <c r="W28" i="10" s="1"/>
  <c r="D44" i="8" s="1"/>
  <c r="R28" i="10"/>
  <c r="U28" i="10" s="1"/>
  <c r="P17" i="10"/>
  <c r="Q17" i="10" s="1"/>
  <c r="T17" i="10" s="1"/>
  <c r="W17" i="10" s="1"/>
  <c r="R17" i="10"/>
  <c r="U17" i="10" s="1"/>
  <c r="B44" i="8" l="1"/>
  <c r="C34" i="8" s="1"/>
  <c r="B34" i="8" s="1"/>
  <c r="B43" i="8"/>
  <c r="C33" i="8" s="1"/>
  <c r="B33" i="8" s="1"/>
  <c r="B42" i="8"/>
  <c r="D42" i="8"/>
  <c r="D40" i="8"/>
  <c r="B40" i="8"/>
  <c r="B8" i="8"/>
  <c r="P8" i="8"/>
  <c r="C31" i="8"/>
  <c r="B31" i="8" s="1"/>
  <c r="D9" i="8"/>
  <c r="B57" i="8" s="1"/>
  <c r="D7" i="8"/>
  <c r="B55" i="8" s="1"/>
  <c r="C30" i="8" l="1"/>
  <c r="B30" i="8" s="1"/>
  <c r="B7" i="8"/>
  <c r="P7" i="8"/>
  <c r="B9" i="8"/>
  <c r="P9" i="8"/>
  <c r="C32" i="8"/>
  <c r="B2" i="8"/>
  <c r="D2" i="8"/>
  <c r="B50" i="8" s="1"/>
  <c r="J15" i="11" l="1"/>
  <c r="J16" i="11" s="1"/>
  <c r="P2" i="8"/>
  <c r="B32" i="8"/>
  <c r="B29" i="8" s="1"/>
  <c r="C2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<sst xmlns="http://schemas.openxmlformats.org/spreadsheetml/2006/main" count="612" uniqueCount="378">
  <si>
    <t>Key Values</t>
  </si>
  <si>
    <t>Input value</t>
  </si>
  <si>
    <t>Unit</t>
  </si>
  <si>
    <t>Explanation:</t>
  </si>
  <si>
    <t>Cells per SRU</t>
  </si>
  <si>
    <t>SRU per stack</t>
  </si>
  <si>
    <t>Length</t>
  </si>
  <si>
    <t>cm</t>
  </si>
  <si>
    <t>Width</t>
  </si>
  <si>
    <t>Small-&gt;Big cell</t>
  </si>
  <si>
    <t>Length &amp; width difference between smaller cell layers and larger cell layers</t>
  </si>
  <si>
    <t>Big cell-&gt;Frame</t>
  </si>
  <si>
    <t>Length &amp; width difference between cell and frame components</t>
  </si>
  <si>
    <t>Framing</t>
  </si>
  <si>
    <t>IC Thickness</t>
  </si>
  <si>
    <t>µm</t>
  </si>
  <si>
    <t>Distance between IC</t>
  </si>
  <si>
    <t>Assumed equal to spacer thickness</t>
  </si>
  <si>
    <t>Compression Thickness</t>
  </si>
  <si>
    <t>Spacer steel fraction</t>
  </si>
  <si>
    <t>How much of the spacer is actual material (rest is cut out)?</t>
  </si>
  <si>
    <t>Compr/IC/collector steel fraction</t>
  </si>
  <si>
    <t>How much of the IC/collector/compression plates is actual material?</t>
  </si>
  <si>
    <t>Scrap cost return (IC)</t>
  </si>
  <si>
    <t>How much of the original cost is returned when reselling cut out steel?</t>
  </si>
  <si>
    <t>Scrap cost return (other)</t>
  </si>
  <si>
    <t>Decision variables:</t>
  </si>
  <si>
    <t>Steel material</t>
  </si>
  <si>
    <t>Crofer22APU</t>
  </si>
  <si>
    <t>With/Without reuse of cutouts</t>
  </si>
  <si>
    <t>With</t>
  </si>
  <si>
    <t>Either "With" or "Without" - Do we cut out and resell steel components?</t>
  </si>
  <si>
    <t>Total footprint</t>
  </si>
  <si>
    <t>Small cell area</t>
  </si>
  <si>
    <t>Big cell area</t>
  </si>
  <si>
    <t>Frame area</t>
  </si>
  <si>
    <t>Stacks per batch</t>
  </si>
  <si>
    <t>Production volume</t>
  </si>
  <si>
    <t>batches</t>
  </si>
  <si>
    <t>Table for max cycle time</t>
  </si>
  <si>
    <t>Shifts/day</t>
  </si>
  <si>
    <t>Hours/shift</t>
  </si>
  <si>
    <t>Hours/year</t>
  </si>
  <si>
    <t>Takt time</t>
  </si>
  <si>
    <t>Machine cost factor (CAPEX)</t>
  </si>
  <si>
    <t>Takt time, 1 shift (7.5 hrs)</t>
  </si>
  <si>
    <t>Takt time, 3 shift (7.5 hrs)</t>
  </si>
  <si>
    <t>Takt time, 3 shift (8 hrs)</t>
  </si>
  <si>
    <t>Layers per batch</t>
  </si>
  <si>
    <t>End plates</t>
  </si>
  <si>
    <t>Power price</t>
  </si>
  <si>
    <t>€/kWh</t>
  </si>
  <si>
    <t>Power cost per batch</t>
  </si>
  <si>
    <t>-II- in kJ</t>
  </si>
  <si>
    <t>€/kJ</t>
  </si>
  <si>
    <t>Annual salary, per labourer</t>
  </si>
  <si>
    <t>€/year</t>
  </si>
  <si>
    <t>Availability factor</t>
  </si>
  <si>
    <t>[%]</t>
  </si>
  <si>
    <t>Work days per year</t>
  </si>
  <si>
    <t>days/year</t>
  </si>
  <si>
    <t>Total SRU produced / year</t>
  </si>
  <si>
    <t>SRU/year</t>
  </si>
  <si>
    <t>Overhead share (installment CAPEX)</t>
  </si>
  <si>
    <t>Scaling factors</t>
  </si>
  <si>
    <t>Value</t>
  </si>
  <si>
    <t>Frame</t>
  </si>
  <si>
    <t>Per piece</t>
  </si>
  <si>
    <t>Assumed 30.000 pieces before replacement</t>
  </si>
  <si>
    <t>Scaler, per piece</t>
  </si>
  <si>
    <t>Scaler, big cell:</t>
  </si>
  <si>
    <t>Scaler, frame:</t>
  </si>
  <si>
    <t>Scaler, length:</t>
  </si>
  <si>
    <t>For scaling factors:</t>
  </si>
  <si>
    <t>Harboe design parameters:</t>
  </si>
  <si>
    <t>Total length</t>
  </si>
  <si>
    <t>Total width</t>
  </si>
  <si>
    <t>Cell length</t>
  </si>
  <si>
    <t>Cell width</t>
  </si>
  <si>
    <t>SRU's per stack</t>
  </si>
  <si>
    <t>Small active area</t>
  </si>
  <si>
    <t>cm^2</t>
  </si>
  <si>
    <t>Big active area</t>
  </si>
  <si>
    <t>cell_ratio:</t>
  </si>
  <si>
    <t>frame_ratio:</t>
  </si>
  <si>
    <t>[€/kg]</t>
  </si>
  <si>
    <t>[µm]</t>
  </si>
  <si>
    <t>[g/cm^3]</t>
  </si>
  <si>
    <t>[kg/m^2]</t>
  </si>
  <si>
    <t>[€/m^2]</t>
  </si>
  <si>
    <t>[cm^2]</t>
  </si>
  <si>
    <t>[€]</t>
  </si>
  <si>
    <t>[g]</t>
  </si>
  <si>
    <t>Assumptions:</t>
  </si>
  <si>
    <t>Layer</t>
  </si>
  <si>
    <t>Material</t>
  </si>
  <si>
    <t>Mat. Price</t>
  </si>
  <si>
    <t>Thickness</t>
  </si>
  <si>
    <t>Porosity</t>
  </si>
  <si>
    <t>Fraction in layer</t>
  </si>
  <si>
    <t>Volume%</t>
  </si>
  <si>
    <t>Mat. Density</t>
  </si>
  <si>
    <t>Mass</t>
  </si>
  <si>
    <t>Cost per area</t>
  </si>
  <si>
    <t>Area</t>
  </si>
  <si>
    <t>Cost per unit</t>
  </si>
  <si>
    <t>Mass per unit</t>
  </si>
  <si>
    <t>Cost of LSC = LSCF = LSFNT</t>
  </si>
  <si>
    <t>Oxygen electrode</t>
  </si>
  <si>
    <t>LSC</t>
  </si>
  <si>
    <t>Cost of Ni/CGO = CGO</t>
  </si>
  <si>
    <t>Contact layer</t>
  </si>
  <si>
    <t>Ni/CGO cost/density is negligible</t>
  </si>
  <si>
    <t>CGO Layer</t>
  </si>
  <si>
    <t>CGO</t>
  </si>
  <si>
    <t>Electrolyte</t>
  </si>
  <si>
    <t>8YSZ</t>
  </si>
  <si>
    <t>Template values based on the below design:</t>
  </si>
  <si>
    <t>FE active</t>
  </si>
  <si>
    <t>NiO</t>
  </si>
  <si>
    <t>Contact layer 2</t>
  </si>
  <si>
    <t>Layers per SRU</t>
  </si>
  <si>
    <t>1 per stack converts to:</t>
  </si>
  <si>
    <t>per SRU</t>
  </si>
  <si>
    <t>Interconnect in SRU</t>
  </si>
  <si>
    <t>Interconnect in stack</t>
  </si>
  <si>
    <t>Frame design is based on below layout:</t>
  </si>
  <si>
    <t>Current collector</t>
  </si>
  <si>
    <t>Auxiliary spacer</t>
  </si>
  <si>
    <t>Oxidant spacer</t>
  </si>
  <si>
    <t>Fuel spacer</t>
  </si>
  <si>
    <t>Compression plate</t>
  </si>
  <si>
    <t>With the thicknesses given in sheet "Cross-layer"</t>
  </si>
  <si>
    <t>Assumption:</t>
  </si>
  <si>
    <t>Numbers reverse engineered from Harboe2020</t>
  </si>
  <si>
    <t>Glass sealant</t>
  </si>
  <si>
    <t>Thickness of protection layer is thinner than julich, as temperature is assumed lower</t>
  </si>
  <si>
    <t>Protection coating</t>
  </si>
  <si>
    <t>MCF</t>
  </si>
  <si>
    <t>Ni-mesh is calculated per m^2 cost rather than per kg</t>
  </si>
  <si>
    <t>Ni-Mesh layer</t>
  </si>
  <si>
    <t>Ni-Mesh</t>
  </si>
  <si>
    <t>Process</t>
  </si>
  <si>
    <t>Category</t>
  </si>
  <si>
    <t>Scales by</t>
  </si>
  <si>
    <t>n machines (base)</t>
  </si>
  <si>
    <t>CAPEX (per machine)</t>
  </si>
  <si>
    <t>Power (per machine)</t>
  </si>
  <si>
    <t>Cycle time</t>
  </si>
  <si>
    <t>Persons/machine</t>
  </si>
  <si>
    <t>Nr of shifts</t>
  </si>
  <si>
    <t>Shift time</t>
  </si>
  <si>
    <t>Max cycle time</t>
  </si>
  <si>
    <t>n machines (scaled)</t>
  </si>
  <si>
    <t>Hour-ratio</t>
  </si>
  <si>
    <t>Scaling factor</t>
  </si>
  <si>
    <t>CAPEX</t>
  </si>
  <si>
    <t>Power</t>
  </si>
  <si>
    <t>Energy</t>
  </si>
  <si>
    <t>Factorized CAPEX</t>
  </si>
  <si>
    <t>Labour cost</t>
  </si>
  <si>
    <t>Power cost</t>
  </si>
  <si>
    <t>CAPEX per SRU</t>
  </si>
  <si>
    <t>Labour per SRU</t>
  </si>
  <si>
    <t>Power cost per SRU</t>
  </si>
  <si>
    <t>Hydraulic plate cutter / guillotine</t>
  </si>
  <si>
    <t>Interconnects and frames</t>
  </si>
  <si>
    <t>Dual die stamper, automatic</t>
  </si>
  <si>
    <t>Pick and place robot / for stamper</t>
  </si>
  <si>
    <t>Sand blasting unit</t>
  </si>
  <si>
    <t>Ultrasonic cleaning bath with dryer</t>
  </si>
  <si>
    <t>Tumbler mixer for protection powder</t>
  </si>
  <si>
    <t xml:space="preserve">APS coating spraying </t>
  </si>
  <si>
    <t>Annealing furnace</t>
  </si>
  <si>
    <t>Integrated automatic inspection</t>
  </si>
  <si>
    <t>Laser cutting machine</t>
  </si>
  <si>
    <t>CNC vertical mill</t>
  </si>
  <si>
    <t>Spot welding machine</t>
  </si>
  <si>
    <t>Cutter for nickel mesh</t>
  </si>
  <si>
    <t>Multi-unit dies</t>
  </si>
  <si>
    <t>Dies</t>
  </si>
  <si>
    <t>Machinery for cell slurry preparation</t>
  </si>
  <si>
    <t>Cells and glass sealants</t>
  </si>
  <si>
    <t>Tape casting machines</t>
  </si>
  <si>
    <t>PCB Loader</t>
  </si>
  <si>
    <t>Screen printer (cells, glass sealant tape)</t>
  </si>
  <si>
    <t>Reflow oven</t>
  </si>
  <si>
    <t>PCB conveyer</t>
  </si>
  <si>
    <t>Tape cutter/slitter</t>
  </si>
  <si>
    <t>Firing kiln (3-shift)</t>
  </si>
  <si>
    <t>Machinery for sealent slurry preparation</t>
  </si>
  <si>
    <t>Laser welder</t>
  </si>
  <si>
    <t>Pre-assembly</t>
  </si>
  <si>
    <t xml:space="preserve">Robot assembly stations  </t>
  </si>
  <si>
    <t>Annealing oven</t>
  </si>
  <si>
    <t>Assembly line</t>
  </si>
  <si>
    <t>Final assembly</t>
  </si>
  <si>
    <t>Sintering and testing line</t>
  </si>
  <si>
    <t>Cost</t>
  </si>
  <si>
    <t>Density</t>
  </si>
  <si>
    <t>SS441</t>
  </si>
  <si>
    <t>ScYSZ</t>
  </si>
  <si>
    <t>Crofer22H</t>
  </si>
  <si>
    <t>LSCF</t>
  </si>
  <si>
    <t>LSFNT</t>
  </si>
  <si>
    <t>Ni/CGO</t>
  </si>
  <si>
    <t>T (°C)</t>
  </si>
  <si>
    <t>ΔH° (kJ/mol)</t>
  </si>
  <si>
    <t>ΔS° (J/(K mol))</t>
  </si>
  <si>
    <t>ΔG° (kJ/mol)</t>
  </si>
  <si>
    <t>T (K)</t>
  </si>
  <si>
    <t>This sheet is used to estimate the fraction of each metal component, which needs to be cut out in order for other components to fit in</t>
  </si>
  <si>
    <t>Below are the 2-dimensional measurements for the reference design:</t>
  </si>
  <si>
    <t>Cell length:</t>
  </si>
  <si>
    <t>Cell width:</t>
  </si>
  <si>
    <t>Cell ratio</t>
  </si>
  <si>
    <t>Frame constant</t>
  </si>
  <si>
    <t>Meaning the total frame is:</t>
  </si>
  <si>
    <t>Frame length:</t>
  </si>
  <si>
    <t>Frame width:</t>
  </si>
  <si>
    <t>All metal layers contain holes for gas flow, which need to be included</t>
  </si>
  <si>
    <t>Retry:</t>
  </si>
  <si>
    <t>Fuel hole radius base</t>
  </si>
  <si>
    <t>Fuel hole area base</t>
  </si>
  <si>
    <t>Frame constant base:</t>
  </si>
  <si>
    <t>Scaler:</t>
  </si>
  <si>
    <t>Actual area</t>
  </si>
  <si>
    <t>Actual radius</t>
  </si>
  <si>
    <t>Base number of holes</t>
  </si>
  <si>
    <t>Cell length base</t>
  </si>
  <si>
    <t>Scaler</t>
  </si>
  <si>
    <t>New nr. of holes</t>
  </si>
  <si>
    <t>A_holes:</t>
  </si>
  <si>
    <t>Frame area with metal:</t>
  </si>
  <si>
    <t>% of frame area:</t>
  </si>
  <si>
    <t>Both spacer-layers and interconnect layers have holes cut out for the cell.</t>
  </si>
  <si>
    <t>Frame area:</t>
  </si>
  <si>
    <t>Cell area:</t>
  </si>
  <si>
    <t>Metal area:</t>
  </si>
  <si>
    <t>(for spacers and IC)</t>
  </si>
  <si>
    <t>%of frame:</t>
  </si>
  <si>
    <t>Harboe stack design:</t>
  </si>
  <si>
    <t>To reverse-engineer the glass sealant use and density:</t>
  </si>
  <si>
    <t>Cell area</t>
  </si>
  <si>
    <t>Cells per stack</t>
  </si>
  <si>
    <t>Stacks per 5kW</t>
  </si>
  <si>
    <t>Total cells per 5kW</t>
  </si>
  <si>
    <t>Total glass sealant</t>
  </si>
  <si>
    <t>kg</t>
  </si>
  <si>
    <t>Glass sealant per cell</t>
  </si>
  <si>
    <t>g</t>
  </si>
  <si>
    <t>Total sealant height</t>
  </si>
  <si>
    <t>(from source:)</t>
  </si>
  <si>
    <t>https://juser.fz-juelich.de/record/842212/files/Energie_Umwelt_391.pdf</t>
  </si>
  <si>
    <t>Dimensions:</t>
  </si>
  <si>
    <t>mm</t>
  </si>
  <si>
    <t>Sealant/frame area</t>
  </si>
  <si>
    <t>Total volume of sealant:</t>
  </si>
  <si>
    <t>cm^3</t>
  </si>
  <si>
    <t>Density must be:</t>
  </si>
  <si>
    <t>g/cm^3</t>
  </si>
  <si>
    <t>Overview with given inputs:</t>
  </si>
  <si>
    <t>Glass sealant height</t>
  </si>
  <si>
    <t>(same as for FE support &amp; Metal support)</t>
  </si>
  <si>
    <t>Sealant area:</t>
  </si>
  <si>
    <t>And for the metal coating</t>
  </si>
  <si>
    <t>Harboe:</t>
  </si>
  <si>
    <t>MCF mass</t>
  </si>
  <si>
    <t>Per SRU</t>
  </si>
  <si>
    <t>kg/SRU</t>
  </si>
  <si>
    <t>g/SRU</t>
  </si>
  <si>
    <t>Assumed thickness</t>
  </si>
  <si>
    <t>Assumed area:</t>
  </si>
  <si>
    <t>Volume:</t>
  </si>
  <si>
    <t>Per stack</t>
  </si>
  <si>
    <t>Total costs</t>
  </si>
  <si>
    <t>€/cm^2</t>
  </si>
  <si>
    <t>€/SRU</t>
  </si>
  <si>
    <t>Cell</t>
  </si>
  <si>
    <t xml:space="preserve">Frame </t>
  </si>
  <si>
    <t xml:space="preserve">Miscellaneous </t>
  </si>
  <si>
    <t xml:space="preserve">Machining </t>
  </si>
  <si>
    <t xml:space="preserve">Labour </t>
  </si>
  <si>
    <t xml:space="preserve">Energy </t>
  </si>
  <si>
    <t>Further breakdown:</t>
  </si>
  <si>
    <t>Ni-YSZ Active</t>
  </si>
  <si>
    <t>Ni-YSZ Support</t>
  </si>
  <si>
    <t>Interconnects</t>
  </si>
  <si>
    <t>Spacers</t>
  </si>
  <si>
    <t>Current collectors</t>
  </si>
  <si>
    <t>Compression plates</t>
  </si>
  <si>
    <t>Misc</t>
  </si>
  <si>
    <t>Manufacturing and labour</t>
  </si>
  <si>
    <t>Manufacturing breakdown</t>
  </si>
  <si>
    <t>Machines</t>
  </si>
  <si>
    <t>Labour</t>
  </si>
  <si>
    <t>Power input per stack</t>
  </si>
  <si>
    <t>kWin/stack</t>
  </si>
  <si>
    <t>Power input per SRU</t>
  </si>
  <si>
    <t>kWin/SRU</t>
  </si>
  <si>
    <t>Total cost per kWin</t>
  </si>
  <si>
    <t>€/kW</t>
  </si>
  <si>
    <t>Stack volume</t>
  </si>
  <si>
    <t>liters</t>
  </si>
  <si>
    <t>Frame width</t>
  </si>
  <si>
    <t>Frame depth</t>
  </si>
  <si>
    <t>SRU height</t>
  </si>
  <si>
    <t>End plate heights</t>
  </si>
  <si>
    <t>Total height</t>
  </si>
  <si>
    <t>Input variable</t>
  </si>
  <si>
    <t>Note</t>
  </si>
  <si>
    <t>Other parameters</t>
  </si>
  <si>
    <t>Calculated values:</t>
  </si>
  <si>
    <t>Operational parameters:</t>
  </si>
  <si>
    <t>Faraday constant</t>
  </si>
  <si>
    <t>[C/mol]</t>
  </si>
  <si>
    <t>Electrical system:</t>
  </si>
  <si>
    <t>Cell current density</t>
  </si>
  <si>
    <t>[A/cm^2]</t>
  </si>
  <si>
    <t>Ideal gas constant</t>
  </si>
  <si>
    <t>J/(mol*K)</t>
  </si>
  <si>
    <t>Hydrogen flow per stack</t>
  </si>
  <si>
    <t>[mol/s]</t>
  </si>
  <si>
    <t>Cell voltage</t>
  </si>
  <si>
    <t>[V]</t>
  </si>
  <si>
    <t>Reaction electrons</t>
  </si>
  <si>
    <t>[-]</t>
  </si>
  <si>
    <t>Mass flow</t>
  </si>
  <si>
    <t>[kg/h]</t>
  </si>
  <si>
    <t>Temperature</t>
  </si>
  <si>
    <t>[degC]</t>
  </si>
  <si>
    <t>round to closest 25</t>
  </si>
  <si>
    <t>Current efficiency</t>
  </si>
  <si>
    <t>Volume flow</t>
  </si>
  <si>
    <t>[L/s]</t>
  </si>
  <si>
    <t>Pressure</t>
  </si>
  <si>
    <t>bar</t>
  </si>
  <si>
    <t>Molar mass of steam</t>
  </si>
  <si>
    <t>g/mol</t>
  </si>
  <si>
    <t>Cell voltage efficiency</t>
  </si>
  <si>
    <t>Steam utilization rate</t>
  </si>
  <si>
    <t>LHV of H2</t>
  </si>
  <si>
    <t>[kWh/kg]</t>
  </si>
  <si>
    <t>Cell energy demand per kgH2</t>
  </si>
  <si>
    <t>kWh/kgH2</t>
  </si>
  <si>
    <t>Degradation rate</t>
  </si>
  <si>
    <t>/1000h</t>
  </si>
  <si>
    <t>USD -&gt; EUR conversion</t>
  </si>
  <si>
    <t>USD/EUR</t>
  </si>
  <si>
    <t>Electrical input power</t>
  </si>
  <si>
    <t>[kWin/stack]</t>
  </si>
  <si>
    <t>Degradation at EOL</t>
  </si>
  <si>
    <t>Power out</t>
  </si>
  <si>
    <t>[kWout/stack]</t>
  </si>
  <si>
    <t>Electrical efficiency</t>
  </si>
  <si>
    <t>Stack calculations:</t>
  </si>
  <si>
    <t>kWh in per kgH2</t>
  </si>
  <si>
    <t>Total stack CAPEX</t>
  </si>
  <si>
    <t>[€/stack]</t>
  </si>
  <si>
    <t>Stack CAPEX per input kW</t>
  </si>
  <si>
    <t>[€/kW]</t>
  </si>
  <si>
    <t>Operation temp [K]</t>
  </si>
  <si>
    <t>[K]</t>
  </si>
  <si>
    <t>Consumed steam molar flow</t>
  </si>
  <si>
    <t>[mol/s/stack]</t>
  </si>
  <si>
    <t>Gibbs Free energy</t>
  </si>
  <si>
    <t>kJ/mol</t>
  </si>
  <si>
    <t>Steam mass flow</t>
  </si>
  <si>
    <t>[kg/h/stack]</t>
  </si>
  <si>
    <t>Enthalpy</t>
  </si>
  <si>
    <t>Reversible cell voltage</t>
  </si>
  <si>
    <t>V</t>
  </si>
  <si>
    <t>Thermoneutral voltage</t>
  </si>
  <si>
    <t>Total system lifetime</t>
  </si>
  <si>
    <t>h</t>
  </si>
  <si>
    <t>SS441 powder</t>
  </si>
  <si>
    <t>Cell discard rate</t>
  </si>
  <si>
    <t>This is to reflect that not all cells are made perfectly, and some will have to be discarded due to imperfections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</si>
</sst>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_-;\-* #,##0.000_-;_-* &quot;-&quot;??_-;_-@_-"/>
    <numFmt numFmtId="167" formatCode="_-* #,##0.00\ _k_r_._-;\-* #,##0.00\ _k_r_._-;_-* &quot;-&quot;??\ _k_r_._-;_-@_-"/>
    <numFmt numFmtId="168" formatCode="0.0"/>
    <numFmt numFmtId="169" formatCode="0.0000"/>
    <numFmt numFmtId="170" formatCode="_-* #,##0.0_-;\-* #,##0.0_-;_-* &quot;-&quot;?_-;_-@_-"/>
    <numFmt numFmtId="171" formatCode="_-* #,##0.0000_-;\-* #,##0.0000_-;_-* &quot;-&quot;??_-;_-@_-"/>
    <numFmt numFmtId="173" formatCode="_-* #,##0.0000_-;\-* #,##0.0000_-;_-* &quot;-&quot;????_-;_-@_-"/>
    <numFmt numFmtId="174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242424"/>
      <name val="Consolas"/>
      <family val="3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  <xf numFmtId="0" fontId="4" fillId="0" borderId="0" xfId="0" applyFont="1"/>
    <xf numFmtId="43" fontId="0" fillId="0" borderId="0" xfId="0" applyNumberFormat="1"/>
    <xf numFmtId="168" fontId="0" fillId="0" borderId="0" xfId="0" applyNumberFormat="1"/>
    <xf numFmtId="0" fontId="0" fillId="0" borderId="0" xfId="0" quotePrefix="1"/>
    <xf numFmtId="169" fontId="0" fillId="0" borderId="0" xfId="0" applyNumberFormat="1"/>
    <xf numFmtId="43" fontId="0" fillId="0" borderId="0" xfId="1" applyFont="1"/>
    <xf numFmtId="0" fontId="4" fillId="2" borderId="0" xfId="0" applyFont="1" applyFill="1"/>
    <xf numFmtId="0" fontId="5" fillId="0" borderId="0" xfId="0" applyFont="1"/>
    <xf numFmtId="170" fontId="0" fillId="0" borderId="0" xfId="0" applyNumberFormat="1"/>
    <xf numFmtId="1" fontId="0" fillId="0" borderId="0" xfId="0" applyNumberFormat="1"/>
    <xf numFmtId="9" fontId="0" fillId="0" borderId="0" xfId="2" applyFont="1"/>
    <xf numFmtId="164" fontId="0" fillId="0" borderId="0" xfId="0" applyNumberFormat="1"/>
    <xf numFmtId="9" fontId="0" fillId="0" borderId="0" xfId="0" applyNumberFormat="1"/>
    <xf numFmtId="165" fontId="0" fillId="0" borderId="0" xfId="1" applyNumberFormat="1" applyFont="1"/>
    <xf numFmtId="0" fontId="0" fillId="0" borderId="2" xfId="0" applyBorder="1"/>
    <xf numFmtId="9" fontId="0" fillId="0" borderId="2" xfId="2" applyFont="1" applyBorder="1"/>
    <xf numFmtId="0" fontId="0" fillId="2" borderId="0" xfId="0" applyFill="1"/>
    <xf numFmtId="9" fontId="0" fillId="2" borderId="0" xfId="0" applyNumberFormat="1" applyFill="1"/>
    <xf numFmtId="166" fontId="2" fillId="0" borderId="0" xfId="0" applyNumberFormat="1" applyFont="1"/>
    <xf numFmtId="43" fontId="2" fillId="0" borderId="0" xfId="1" applyFont="1"/>
    <xf numFmtId="0" fontId="0" fillId="0" borderId="3" xfId="0" applyBorder="1"/>
    <xf numFmtId="166" fontId="0" fillId="0" borderId="3" xfId="1" applyNumberFormat="1" applyFont="1" applyBorder="1"/>
    <xf numFmtId="43" fontId="0" fillId="0" borderId="3" xfId="1" applyFont="1" applyBorder="1"/>
    <xf numFmtId="166" fontId="0" fillId="0" borderId="0" xfId="1" applyNumberFormat="1" applyFont="1" applyBorder="1"/>
    <xf numFmtId="43" fontId="0" fillId="0" borderId="0" xfId="1" applyFont="1" applyBorder="1"/>
    <xf numFmtId="166" fontId="0" fillId="0" borderId="2" xfId="1" applyNumberFormat="1" applyFont="1" applyBorder="1"/>
    <xf numFmtId="43" fontId="0" fillId="0" borderId="2" xfId="1" applyFont="1" applyBorder="1"/>
    <xf numFmtId="43" fontId="0" fillId="0" borderId="3" xfId="0" applyNumberFormat="1" applyBorder="1"/>
    <xf numFmtId="43" fontId="0" fillId="0" borderId="2" xfId="0" applyNumberFormat="1" applyBorder="1"/>
    <xf numFmtId="0" fontId="6" fillId="0" borderId="0" xfId="0" applyFont="1"/>
    <xf numFmtId="171" fontId="0" fillId="0" borderId="0" xfId="1" applyNumberFormat="1" applyFont="1"/>
    <xf numFmtId="165" fontId="0" fillId="0" borderId="0" xfId="0" applyNumberFormat="1"/>
    <xf numFmtId="43" fontId="2" fillId="0" borderId="1" xfId="1" applyFont="1" applyBorder="1"/>
    <xf numFmtId="0" fontId="2" fillId="0" borderId="1" xfId="0" applyFont="1" applyBorder="1"/>
    <xf numFmtId="164" fontId="2" fillId="0" borderId="1" xfId="1" applyNumberFormat="1" applyFont="1" applyBorder="1"/>
    <xf numFmtId="43" fontId="9" fillId="4" borderId="1" xfId="4" applyNumberFormat="1" applyFont="1" applyBorder="1"/>
    <xf numFmtId="0" fontId="10" fillId="3" borderId="1" xfId="3" applyFont="1" applyBorder="1"/>
    <xf numFmtId="165" fontId="6" fillId="0" borderId="0" xfId="1" applyNumberFormat="1" applyFont="1" applyBorder="1"/>
    <xf numFmtId="164" fontId="8" fillId="4" borderId="0" xfId="4" applyNumberFormat="1"/>
    <xf numFmtId="43" fontId="7" fillId="3" borderId="0" xfId="1" applyFont="1" applyFill="1"/>
    <xf numFmtId="165" fontId="11" fillId="0" borderId="0" xfId="1" applyNumberFormat="1" applyFont="1"/>
    <xf numFmtId="164" fontId="0" fillId="0" borderId="0" xfId="1" applyNumberFormat="1" applyFont="1" applyFill="1"/>
    <xf numFmtId="165" fontId="0" fillId="5" borderId="0" xfId="1" applyNumberFormat="1" applyFont="1" applyFill="1"/>
    <xf numFmtId="43" fontId="6" fillId="5" borderId="0" xfId="1" applyFont="1" applyFill="1"/>
    <xf numFmtId="0" fontId="0" fillId="5" borderId="0" xfId="0" applyFill="1"/>
    <xf numFmtId="43" fontId="0" fillId="5" borderId="0" xfId="1" applyFont="1" applyFill="1"/>
    <xf numFmtId="0" fontId="6" fillId="5" borderId="0" xfId="0" applyFont="1" applyFill="1"/>
    <xf numFmtId="0" fontId="0" fillId="6" borderId="0" xfId="0" applyFill="1"/>
    <xf numFmtId="9" fontId="0" fillId="6" borderId="0" xfId="0" applyNumberFormat="1" applyFill="1"/>
    <xf numFmtId="43" fontId="0" fillId="6" borderId="0" xfId="1" applyFont="1" applyFill="1"/>
    <xf numFmtId="164" fontId="4" fillId="6" borderId="0" xfId="4" applyNumberFormat="1" applyFont="1" applyFill="1"/>
    <xf numFmtId="2" fontId="0" fillId="0" borderId="0" xfId="0" applyNumberFormat="1"/>
    <xf numFmtId="0" fontId="12" fillId="0" borderId="0" xfId="5"/>
    <xf numFmtId="173" fontId="0" fillId="0" borderId="0" xfId="0" applyNumberFormat="1"/>
    <xf numFmtId="166" fontId="0" fillId="0" borderId="0" xfId="0" applyNumberFormat="1"/>
    <xf numFmtId="0" fontId="13" fillId="0" borderId="0" xfId="0" applyFont="1"/>
    <xf numFmtId="0" fontId="0" fillId="7" borderId="0" xfId="0" applyFill="1"/>
    <xf numFmtId="171" fontId="0" fillId="7" borderId="0" xfId="1" applyNumberFormat="1" applyFont="1" applyFill="1" applyBorder="1"/>
    <xf numFmtId="9" fontId="0" fillId="7" borderId="0" xfId="0" applyNumberFormat="1" applyFill="1"/>
    <xf numFmtId="1" fontId="0" fillId="7" borderId="0" xfId="0" applyNumberFormat="1" applyFill="1"/>
    <xf numFmtId="43" fontId="0" fillId="7" borderId="0" xfId="0" applyNumberFormat="1" applyFill="1"/>
    <xf numFmtId="174" fontId="0" fillId="0" borderId="0" xfId="2" applyNumberFormat="1" applyFont="1"/>
    <xf numFmtId="1" fontId="0" fillId="5" borderId="0" xfId="0" applyNumberFormat="1" applyFill="1"/>
    <xf numFmtId="165" fontId="0" fillId="0" borderId="0" xfId="0" applyNumberFormat="1" applyAlignment="1">
      <alignment vertical="center"/>
    </xf>
    <xf numFmtId="2" fontId="0" fillId="5" borderId="0" xfId="0" applyNumberFormat="1" applyFill="1"/>
    <xf numFmtId="10" fontId="0" fillId="0" borderId="0" xfId="0" applyNumberFormat="1"/>
    <xf numFmtId="2" fontId="0" fillId="2" borderId="0" xfId="0" applyNumberFormat="1" applyFill="1"/>
    <xf numFmtId="0" fontId="15" fillId="9" borderId="4" xfId="0" applyFont="1" applyFill="1" applyBorder="1"/>
    <xf numFmtId="0" fontId="15" fillId="9" borderId="5" xfId="0" applyFont="1" applyFill="1" applyBorder="1"/>
    <xf numFmtId="0" fontId="15" fillId="0" borderId="4" xfId="0" applyFont="1" applyBorder="1"/>
    <xf numFmtId="0" fontId="15" fillId="0" borderId="5" xfId="0" applyFont="1" applyBorder="1"/>
    <xf numFmtId="0" fontId="14" fillId="8" borderId="6" xfId="0" applyFont="1" applyFill="1" applyBorder="1"/>
    <xf numFmtId="0" fontId="14" fillId="8" borderId="7" xfId="0" applyFont="1" applyFill="1" applyBorder="1"/>
    <xf numFmtId="0" fontId="14" fillId="8" borderId="2" xfId="0" applyFont="1" applyFill="1" applyBorder="1"/>
    <xf numFmtId="0" fontId="15" fillId="0" borderId="8" xfId="0" applyFont="1" applyBorder="1"/>
    <xf numFmtId="0" fontId="15" fillId="0" borderId="9" xfId="0" applyFont="1" applyBorder="1"/>
    <xf numFmtId="174" fontId="0" fillId="2" borderId="0" xfId="0" applyNumberFormat="1" applyFill="1"/>
    <xf numFmtId="0" fontId="0" fillId="0" borderId="0" xfId="0" applyFill="1"/>
    <xf numFmtId="168" fontId="0" fillId="0" borderId="0" xfId="0" applyNumberFormat="1" applyFill="1"/>
    <xf numFmtId="1" fontId="0" fillId="0" borderId="0" xfId="0" applyNumberFormat="1" applyFill="1"/>
    <xf numFmtId="165" fontId="0" fillId="0" borderId="0" xfId="0" applyNumberFormat="1" applyFill="1"/>
    <xf numFmtId="9" fontId="0" fillId="0" borderId="0" xfId="0" applyNumberFormat="1" applyFill="1"/>
  </cellXfs>
  <cellStyles count="6">
    <cellStyle name="Comma" xfId="1" builtinId="3"/>
    <cellStyle name="Good" xfId="3" builtinId="26"/>
    <cellStyle name="Hyperlink" xfId="5" xr:uid="{00000000-000B-0000-0000-000008000000}"/>
    <cellStyle name="Neutral" xfId="4" builtinId="28"/>
    <cellStyle name="Normal" xfId="0" builtinId="0"/>
    <cellStyle name="Per cent" xfId="2" builtinId="5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indexed="64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.000_-;\-* #,##0.0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.000_-;\-* #,##0.0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7" formatCode="_-* #,##0.00\ _k_r_._-;\-* #,##0.00\ _k_r_._-;_-* &quot;-&quot;??\ _k_r_._-;_-@_-"/>
    </dxf>
    <dxf>
      <numFmt numFmtId="164" formatCode="_-* #,##0.0_-;\-* #,##0.0_-;_-* &quot;-&quot;??_-;_-@_-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 distribution of input cell</a:t>
            </a:r>
            <a:r>
              <a:rPr lang="en-GB" baseline="0"/>
              <a:t>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results'!$A$4:$A$9</c:f>
              <c:strCache>
                <c:ptCount val="6"/>
                <c:pt idx="0">
                  <c:v>Cell</c:v>
                </c:pt>
                <c:pt idx="1">
                  <c:v>Frame </c:v>
                </c:pt>
                <c:pt idx="2">
                  <c:v>Miscellaneous </c:v>
                </c:pt>
                <c:pt idx="3">
                  <c:v>Machining </c:v>
                </c:pt>
                <c:pt idx="4">
                  <c:v>Labour </c:v>
                </c:pt>
                <c:pt idx="5">
                  <c:v>Energy </c:v>
                </c:pt>
              </c:strCache>
            </c:strRef>
          </c:cat>
          <c:val>
            <c:numRef>
              <c:f>'Manufacturing results'!$B$4:$B$9</c:f>
              <c:numCache>
                <c:formatCode>_-* #,##0.0000_-;\-* #,##0.0000_-;_-* "-"??_-;_-@_-</c:formatCode>
                <c:ptCount val="6"/>
                <c:pt idx="0">
                  <c:v>7.1937234042553184E-3</c:v>
                </c:pt>
                <c:pt idx="1">
                  <c:v>4.3701409592640891E-2</c:v>
                </c:pt>
                <c:pt idx="2">
                  <c:v>1.2416736128457232E-2</c:v>
                </c:pt>
                <c:pt idx="3">
                  <c:v>2.7498191357341994E-2</c:v>
                </c:pt>
                <c:pt idx="4">
                  <c:v>1.7313510065355885E-2</c:v>
                </c:pt>
                <c:pt idx="5">
                  <c:v>7.5744373414295182E-3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9-4E45-B1B7-ADB52017C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Cell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results'!$A$14:$A$19</c:f>
              <c:strCache>
                <c:ptCount val="6"/>
                <c:pt idx="0">
                  <c:v>Oxygen electrode</c:v>
                </c:pt>
                <c:pt idx="1">
                  <c:v>Contact layer</c:v>
                </c:pt>
                <c:pt idx="2">
                  <c:v>CGO Layer</c:v>
                </c:pt>
                <c:pt idx="3">
                  <c:v>Electrolyte</c:v>
                </c:pt>
                <c:pt idx="4">
                  <c:v>Ni-YSZ Active</c:v>
                </c:pt>
                <c:pt idx="5">
                  <c:v>Ni-YSZ Support</c:v>
                </c:pt>
              </c:strCache>
            </c:strRef>
          </c:cat>
          <c:val>
            <c:numRef>
              <c:f>'Manufacturing results'!$B$14:$B$19</c:f>
              <c:numCache>
                <c:formatCode>_-* #,##0.000_-;\-* #,##0.000_-;_-* "-"??_-;_-@_-</c:formatCode>
                <c:ptCount val="6"/>
                <c:pt idx="0">
                  <c:v>7.7409574468085098E-4</c:v>
                </c:pt>
                <c:pt idx="1">
                  <c:v>7.7409574468085098E-4</c:v>
                </c:pt>
                <c:pt idx="2">
                  <c:v>1.9715744680851065E-3</c:v>
                </c:pt>
                <c:pt idx="3">
                  <c:v>1.9905319148936168E-3</c:v>
                </c:pt>
                <c:pt idx="4">
                  <c:v>1.5387340425531914E-3</c:v>
                </c:pt>
                <c:pt idx="5">
                  <c:v>1.4469148936170211E-4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E-49EB-8099-57968A27E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Frame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results'!$A$21:$A$24</c:f>
              <c:strCache>
                <c:ptCount val="4"/>
                <c:pt idx="0">
                  <c:v>Interconnects</c:v>
                </c:pt>
                <c:pt idx="1">
                  <c:v>Spacers</c:v>
                </c:pt>
                <c:pt idx="2">
                  <c:v>Current collectors</c:v>
                </c:pt>
                <c:pt idx="3">
                  <c:v>Compression plates</c:v>
                </c:pt>
              </c:strCache>
            </c:strRef>
          </c:cat>
          <c:val>
            <c:numRef>
              <c:f>'Manufacturing results'!$B$21:$B$24</c:f>
              <c:numCache>
                <c:formatCode>_-* #,##0.000_-;\-* #,##0.000_-;_-* "-"??_-;_-@_-</c:formatCode>
                <c:ptCount val="4"/>
                <c:pt idx="0">
                  <c:v>9.3817276610981323E-3</c:v>
                </c:pt>
                <c:pt idx="1">
                  <c:v>2.8702488688798301E-2</c:v>
                </c:pt>
                <c:pt idx="2">
                  <c:v>6.0184213315119179E-4</c:v>
                </c:pt>
                <c:pt idx="3">
                  <c:v>5.0153511095932645E-3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F-421A-A79C-572AD226D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Misc.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results'!$A$26:$A$28</c:f>
              <c:strCache>
                <c:ptCount val="3"/>
                <c:pt idx="0">
                  <c:v>Glass sealant</c:v>
                </c:pt>
                <c:pt idx="1">
                  <c:v>Protection coating</c:v>
                </c:pt>
                <c:pt idx="2">
                  <c:v>Ni-Mesh layer</c:v>
                </c:pt>
              </c:strCache>
            </c:strRef>
          </c:cat>
          <c:val>
            <c:numRef>
              <c:f>'Manufacturing results'!$B$26:$B$28</c:f>
              <c:numCache>
                <c:formatCode>_-* #,##0.000_-;\-* #,##0.000_-;_-* "-"??_-;_-@_-</c:formatCode>
                <c:ptCount val="3"/>
                <c:pt idx="0">
                  <c:v>2.0726395825541046E-3</c:v>
                </c:pt>
                <c:pt idx="1">
                  <c:v>7.6440965459031287E-3</c:v>
                </c:pt>
                <c:pt idx="2">
                  <c:v>2.7000000000000001E-3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7-4AE7-B266-12EA4E1E7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results'!$A$30:$A$34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results'!$B$30:$B$34</c:f>
              <c:numCache>
                <c:formatCode>_-* #,##0.000_-;\-* #,##0.000_-;_-* "-"??_-;_-@_-</c:formatCode>
                <c:ptCount val="5"/>
                <c:pt idx="0">
                  <c:v>1.2304071795311126E-2</c:v>
                </c:pt>
                <c:pt idx="1">
                  <c:v>4.4756465689807018E-3</c:v>
                </c:pt>
                <c:pt idx="2">
                  <c:v>1.6645713163873942E-2</c:v>
                </c:pt>
                <c:pt idx="3">
                  <c:v>8.4109441737185622E-3</c:v>
                </c:pt>
                <c:pt idx="4">
                  <c:v>1.0549763062243072E-2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0-4BB0-93C3-5CE90E114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'Manufacturing results'!$B$39</c:f>
              <c:strCache>
                <c:ptCount val="1"/>
                <c:pt idx="0">
                  <c:v>Machines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results'!$A$40:$A$44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results'!$B$40:$B$44</c:f>
              <c:numCache>
                <c:formatCode>_-* #,##0.000_-;\-* #,##0.000_-;_-* "-"??_-;_-@_-</c:formatCode>
                <c:ptCount val="5"/>
                <c:pt idx="0">
                  <c:v>0.69278914634105393</c:v>
                </c:pt>
                <c:pt idx="1">
                  <c:v>0.35805172551845615</c:v>
                </c:pt>
                <c:pt idx="2">
                  <c:v>0.56910462275822338</c:v>
                </c:pt>
                <c:pt idx="3">
                  <c:v>0.32395315877972608</c:v>
                </c:pt>
                <c:pt idx="4">
                  <c:v>0.25595665518990041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8-4B21-996A-530B5F37D0DB}"/>
            </c:ext>
          </c:extLst>
        </c:ser>
        <c:ser>
          <c:idx val="1"/>
          <c:order val="1"/>
          <c:tx>
            <c:strRef>
              <c:f>'Manufacturing results'!$C$39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'Manufacturing results'!$A$40:$A$44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results'!$C$40:$C$44</c:f>
              <c:numCache>
                <c:formatCode>_-* #,##0.000_-;\-* #,##0.000_-;_-* "-"??_-;_-@_-</c:formatCode>
                <c:ptCount val="5"/>
                <c:pt idx="0">
                  <c:v>0.17347764253503312</c:v>
                </c:pt>
                <c:pt idx="1">
                  <c:v>0</c:v>
                </c:pt>
                <c:pt idx="2">
                  <c:v>0.56701944363671597</c:v>
                </c:pt>
                <c:pt idx="3">
                  <c:v>0.30057487927771603</c:v>
                </c:pt>
                <c:pt idx="4">
                  <c:v>0.34400883977900554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8-4B21-996A-530B5F37D0DB}"/>
            </c:ext>
          </c:extLst>
        </c:ser>
        <c:ser>
          <c:idx val="2"/>
          <c:order val="2"/>
          <c:tx>
            <c:strRef>
              <c:f>'Manufacturing results'!$D$39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'Manufacturing results'!$A$40:$A$44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results'!$D$40:$D$44</c:f>
              <c:numCache>
                <c:formatCode>_-* #,##0.000_-;\-* #,##0.000_-;_-* "-"??_-;_-@_-</c:formatCode>
                <c:ptCount val="5"/>
                <c:pt idx="0">
                  <c:v>0.11805895474880293</c:v>
                </c:pt>
                <c:pt idx="1">
                  <c:v>0</c:v>
                </c:pt>
                <c:pt idx="2">
                  <c:v>0.19553298671497588</c:v>
                </c:pt>
                <c:pt idx="3">
                  <c:v>4.8347495840042942E-2</c:v>
                </c:pt>
                <c:pt idx="4">
                  <c:v>0.24401555001053982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18-4B21-996A-530B5F37D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597877</xdr:colOff>
      <xdr:row>0</xdr:row>
      <xdr:rowOff>0</xdr:rowOff>
    </xdr:from>
    <xdr:to>
      <xdr:col>14</xdr:col>
      <xdr:colOff>293077</xdr:colOff>
      <xdr:row>12</xdr:row>
      <xdr:rowOff>139212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12B86A9-F78D-BFC8-DE5E-55E488BF3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87924</xdr:colOff>
      <xdr:row>12</xdr:row>
      <xdr:rowOff>95249</xdr:rowOff>
    </xdr:from>
    <xdr:to>
      <xdr:col>14</xdr:col>
      <xdr:colOff>2931</xdr:colOff>
      <xdr:row>25</xdr:row>
      <xdr:rowOff>7325</xdr:rowOff>
    </xdr:to>
    <xdr:graphicFrame macro="">
      <xdr:nvGraphicFramePr>
        <xdr:cNvPr id="16" name="Diagram 15">
          <a:extLst>
            <a:ext uri="{FF2B5EF4-FFF2-40B4-BE49-F238E27FC236}">
              <a16:creationId xmlns:a16="http://schemas.microsoft.com/office/drawing/2014/main" id="{923B5E9D-618B-4306-A5A4-171474682091}"/>
            </a:ext>
            <a:ext uri="{147F2762-F138-4A5C-976F-8EAC2B608ADB}">
              <a16:predDERef xmlns:a16="http://schemas.microsoft.com/office/drawing/2014/main" pred="{012B86A9-F78D-BFC8-DE5E-55E488BF3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12</xdr:row>
      <xdr:rowOff>87923</xdr:rowOff>
    </xdr:from>
    <xdr:to>
      <xdr:col>20</xdr:col>
      <xdr:colOff>523143</xdr:colOff>
      <xdr:row>24</xdr:row>
      <xdr:rowOff>190499</xdr:rowOff>
    </xdr:to>
    <xdr:graphicFrame macro="">
      <xdr:nvGraphicFramePr>
        <xdr:cNvPr id="17" name="Diagram 16">
          <a:extLst>
            <a:ext uri="{FF2B5EF4-FFF2-40B4-BE49-F238E27FC236}">
              <a16:creationId xmlns:a16="http://schemas.microsoft.com/office/drawing/2014/main" id="{35E541A9-813C-4EA4-BB2C-884CA0333DFD}"/>
            </a:ext>
            <a:ext uri="{147F2762-F138-4A5C-976F-8EAC2B608ADB}">
              <a16:predDERef xmlns:a16="http://schemas.microsoft.com/office/drawing/2014/main" pred="{923B5E9D-618B-4306-A5A4-171474682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95251</xdr:colOff>
      <xdr:row>25</xdr:row>
      <xdr:rowOff>14654</xdr:rowOff>
    </xdr:from>
    <xdr:to>
      <xdr:col>14</xdr:col>
      <xdr:colOff>10258</xdr:colOff>
      <xdr:row>37</xdr:row>
      <xdr:rowOff>117230</xdr:rowOff>
    </xdr:to>
    <xdr:graphicFrame macro="">
      <xdr:nvGraphicFramePr>
        <xdr:cNvPr id="18" name="Diagram 17">
          <a:extLst>
            <a:ext uri="{FF2B5EF4-FFF2-40B4-BE49-F238E27FC236}">
              <a16:creationId xmlns:a16="http://schemas.microsoft.com/office/drawing/2014/main" id="{4BC71D80-F837-4BC3-877A-F3FBF77FB578}"/>
            </a:ext>
            <a:ext uri="{147F2762-F138-4A5C-976F-8EAC2B608ADB}">
              <a16:predDERef xmlns:a16="http://schemas.microsoft.com/office/drawing/2014/main" pred="{35E541A9-813C-4EA4-BB2C-884CA0333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7327</xdr:colOff>
      <xdr:row>25</xdr:row>
      <xdr:rowOff>7327</xdr:rowOff>
    </xdr:from>
    <xdr:to>
      <xdr:col>20</xdr:col>
      <xdr:colOff>530470</xdr:colOff>
      <xdr:row>37</xdr:row>
      <xdr:rowOff>109903</xdr:rowOff>
    </xdr:to>
    <xdr:graphicFrame macro="">
      <xdr:nvGraphicFramePr>
        <xdr:cNvPr id="19" name="Diagram 18">
          <a:extLst>
            <a:ext uri="{FF2B5EF4-FFF2-40B4-BE49-F238E27FC236}">
              <a16:creationId xmlns:a16="http://schemas.microsoft.com/office/drawing/2014/main" id="{D9F90179-95B4-4C4C-9665-752369FE4AE4}"/>
            </a:ext>
            <a:ext uri="{147F2762-F138-4A5C-976F-8EAC2B608ADB}">
              <a16:predDERef xmlns:a16="http://schemas.microsoft.com/office/drawing/2014/main" pred="{4BC71D80-F837-4BC3-877A-F3FBF77FB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109903</xdr:colOff>
      <xdr:row>37</xdr:row>
      <xdr:rowOff>117231</xdr:rowOff>
    </xdr:from>
    <xdr:to>
      <xdr:col>15</xdr:col>
      <xdr:colOff>461595</xdr:colOff>
      <xdr:row>50</xdr:row>
      <xdr:rowOff>29307</xdr:rowOff>
    </xdr:to>
    <xdr:graphicFrame macro="">
      <xdr:nvGraphicFramePr>
        <xdr:cNvPr id="20" name="Diagram 19">
          <a:extLst>
            <a:ext uri="{FF2B5EF4-FFF2-40B4-BE49-F238E27FC236}">
              <a16:creationId xmlns:a16="http://schemas.microsoft.com/office/drawing/2014/main" id="{FACE0FCA-9037-440E-9555-599D5D56D354}"/>
            </a:ext>
            <a:ext uri="{147F2762-F138-4A5C-976F-8EAC2B608ADB}">
              <a16:predDERef xmlns:a16="http://schemas.microsoft.com/office/drawing/2014/main" pred="{D9F90179-95B4-4C4C-9665-752369FE4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513468</xdr:colOff>
      <xdr:row>6</xdr:row>
      <xdr:rowOff>0</xdr:rowOff>
    </xdr:from>
    <xdr:to>
      <xdr:col>15</xdr:col>
      <xdr:colOff>246767</xdr:colOff>
      <xdr:row>18</xdr:row>
      <xdr:rowOff>34648</xdr:rowOff>
    </xdr:to>
    <xdr:pic>
      <xdr:nvPicPr>
        <xdr:cNvPr id="2" name="Billede 61">
          <a:extLst>
            <a:ext uri="{FF2B5EF4-FFF2-40B4-BE49-F238E27FC236}">
              <a16:creationId xmlns:a16="http://schemas.microsoft.com/office/drawing/2014/main" id="{0F6FCF26-8EE5-644C-8C81-32F4FF3C6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3368" y="1143000"/>
          <a:ext cx="3771899" cy="2320648"/>
        </a:xfrm>
        <a:prstGeom prst="rect">
          <a:avLst/>
        </a:prstGeom>
      </xdr:spPr>
    </xdr:pic>
    <xdr:clientData/>
  </xdr:twoCellAnchor>
  <xdr:twoCellAnchor>
    <xdr:from>
      <xdr:col>7</xdr:col>
      <xdr:colOff>381000</xdr:colOff>
      <xdr:row>10</xdr:row>
      <xdr:rowOff>126811</xdr:rowOff>
    </xdr:from>
    <xdr:to>
      <xdr:col>12</xdr:col>
      <xdr:colOff>325968</xdr:colOff>
      <xdr:row>11</xdr:row>
      <xdr:rowOff>101599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1B30D34-C76E-E949-9002-391511D1936C}"/>
            </a:ext>
          </a:extLst>
        </xdr:cNvPr>
        <xdr:cNvCxnSpPr/>
      </xdr:nvCxnSpPr>
      <xdr:spPr>
        <a:xfrm flipV="1">
          <a:off x="7124700" y="2031811"/>
          <a:ext cx="3310468" cy="165288"/>
        </a:xfrm>
        <a:prstGeom prst="line">
          <a:avLst/>
        </a:prstGeom>
        <a:ln w="1905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250306</xdr:colOff>
      <xdr:row>12</xdr:row>
      <xdr:rowOff>118764</xdr:rowOff>
    </xdr:from>
    <xdr:to>
      <xdr:col>9</xdr:col>
      <xdr:colOff>524242</xdr:colOff>
      <xdr:row>13</xdr:row>
      <xdr:rowOff>78971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1BA6148-179E-0645-A9B1-D405579B83B4}"/>
            </a:ext>
          </a:extLst>
        </xdr:cNvPr>
        <xdr:cNvCxnSpPr/>
      </xdr:nvCxnSpPr>
      <xdr:spPr>
        <a:xfrm>
          <a:off x="7667106" y="2404764"/>
          <a:ext cx="947036" cy="150707"/>
        </a:xfrm>
        <a:prstGeom prst="line">
          <a:avLst/>
        </a:prstGeom>
        <a:ln w="1905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6</xdr:row>
      <xdr:rowOff>12707</xdr:rowOff>
    </xdr:from>
    <xdr:to>
      <xdr:col>20</xdr:col>
      <xdr:colOff>54255</xdr:colOff>
      <xdr:row>29</xdr:row>
      <xdr:rowOff>36398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6B46F48-B33B-31B8-B052-DF2EFFDC5C65}"/>
            </a:ext>
          </a:extLst>
        </xdr:cNvPr>
        <xdr:cNvGrpSpPr/>
      </xdr:nvGrpSpPr>
      <xdr:grpSpPr>
        <a:xfrm>
          <a:off x="12068175" y="1155707"/>
          <a:ext cx="3597555" cy="4405191"/>
          <a:chOff x="802920" y="21585699"/>
          <a:chExt cx="2823125" cy="3038564"/>
        </a:xfrm>
      </xdr:grpSpPr>
      <xdr:pic>
        <xdr:nvPicPr>
          <xdr:cNvPr id="3" name="Billede 1" descr="Et billede, der indeholder tekst, skærmbillede, design&#10;&#10;Indhold genereret af kunstig intelligens kan være forkert.">
            <a:extLst>
              <a:ext uri="{FF2B5EF4-FFF2-40B4-BE49-F238E27FC236}">
                <a16:creationId xmlns:a16="http://schemas.microsoft.com/office/drawing/2014/main" id="{1E2FB0F9-C2B7-4655-3892-A98BF71A93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r="54224" b="68621"/>
          <a:stretch>
            <a:fillRect/>
          </a:stretch>
        </xdr:blipFill>
        <xdr:spPr>
          <a:xfrm>
            <a:off x="802920" y="21585699"/>
            <a:ext cx="2816442" cy="1530852"/>
          </a:xfrm>
          <a:prstGeom prst="rect">
            <a:avLst/>
          </a:prstGeom>
        </xdr:spPr>
      </xdr:pic>
      <xdr:pic>
        <xdr:nvPicPr>
          <xdr:cNvPr id="4" name="Billede 1" descr="Et billede, der indeholder tekst, skærmbillede, design&#10;&#10;Indhold genereret af kunstig intelligens kan være forkert.">
            <a:extLst>
              <a:ext uri="{FF2B5EF4-FFF2-40B4-BE49-F238E27FC236}">
                <a16:creationId xmlns:a16="http://schemas.microsoft.com/office/drawing/2014/main" id="{9100D82A-A6D5-5433-618D-ABC51BD40D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l="46332" r="7892" b="68621"/>
          <a:stretch>
            <a:fillRect/>
          </a:stretch>
        </xdr:blipFill>
        <xdr:spPr>
          <a:xfrm>
            <a:off x="809603" y="23093411"/>
            <a:ext cx="2816442" cy="153085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292100</xdr:colOff>
      <xdr:row>4</xdr:row>
      <xdr:rowOff>29209</xdr:rowOff>
    </xdr:from>
    <xdr:to>
      <xdr:col>22</xdr:col>
      <xdr:colOff>469900</xdr:colOff>
      <xdr:row>12</xdr:row>
      <xdr:rowOff>16294</xdr:rowOff>
    </xdr:to>
    <xdr:pic>
      <xdr:nvPicPr>
        <xdr:cNvPr id="2" name="Billede 26">
          <a:extLst>
            <a:ext uri="{FF2B5EF4-FFF2-40B4-BE49-F238E27FC236}">
              <a16:creationId xmlns:a16="http://schemas.microsoft.com/office/drawing/2014/main" id="{17626ED8-1507-5645-9773-1E98C6234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9500" y="791209"/>
          <a:ext cx="1524000" cy="1511085"/>
        </a:xfrm>
        <a:prstGeom prst="rect">
          <a:avLst/>
        </a:prstGeom>
      </xdr:spPr>
    </xdr:pic>
    <xdr:clientData/>
  </xdr:twoCellAnchor>
  <xdr:twoCellAnchor editAs="oneCell">
    <xdr:from>
      <xdr:col>15</xdr:col>
      <xdr:colOff>669091</xdr:colOff>
      <xdr:row>4</xdr:row>
      <xdr:rowOff>38100</xdr:rowOff>
    </xdr:from>
    <xdr:to>
      <xdr:col>20</xdr:col>
      <xdr:colOff>304800</xdr:colOff>
      <xdr:row>23</xdr:row>
      <xdr:rowOff>10931</xdr:rowOff>
    </xdr:to>
    <xdr:pic>
      <xdr:nvPicPr>
        <xdr:cNvPr id="3" name="Billede 59">
          <a:extLst>
            <a:ext uri="{FF2B5EF4-FFF2-40B4-BE49-F238E27FC236}">
              <a16:creationId xmlns:a16="http://schemas.microsoft.com/office/drawing/2014/main" id="{B4C87E37-04D1-B54E-9C91-AB0CDE161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5791" y="800100"/>
          <a:ext cx="3966409" cy="35923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personal/fskna_dtu_dk/Documents/Papers%20DTU%20Energy/Files/Cost%20model%20-%20FE%20support.xlsx" TargetMode="External"/><Relationship Id="rId1" Type="http://schemas.openxmlformats.org/officeDocument/2006/relationships/externalLinkPath" Target="Cost%20model%20-%20FE%20sup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HevMbQHv00anX2DZUNe2mUFWFOXyvk1Nla6BCD9qkcgE8H0-PG0XT7DtkIH1ANwO" itemId="01CIYPTOL3T7M43SIUJJEYUSXSDMA26CDG">
      <xxl21:absoluteUrl r:id="rId2"/>
    </xxl21:alternateUrls>
    <sheetNames>
      <sheetName val="Manufacturing results"/>
      <sheetName val="Performance"/>
      <sheetName val="Cross-layer"/>
      <sheetName val="Manufacturing inputs"/>
      <sheetName val="Cell"/>
      <sheetName val="Frame"/>
      <sheetName val="Misc"/>
      <sheetName val="Manufacturing calc"/>
      <sheetName val="Materials"/>
      <sheetName val="LHV"/>
      <sheetName val="Calculation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1398C-93EA-46B9-98B2-EDA0AA84BB19}" name="Max_cycle_table" displayName="Max_cycle_table" ref="F1:J5" totalsRowShown="0">
  <autoFilter ref="F1:J5" xr:uid="{5D31398C-93EA-46B9-98B2-EDA0AA84BB19}"/>
  <tableColumns count="5">
    <tableColumn id="1" xr3:uid="{92AE8EB8-CB99-4C50-8602-4811CC7225FB}" name="Table for max cycle time"/>
    <tableColumn id="2" xr3:uid="{818E3FF9-626F-43EF-AEBC-14201B4F049A}" name="Shifts/day"/>
    <tableColumn id="3" xr3:uid="{A468BC70-5944-44DB-A371-0CEDDCDB4269}" name="Hours/shift"/>
    <tableColumn id="5" xr3:uid="{209A2919-4529-4AFE-8732-C562073C335E}" name="Hours/year" dataDxfId="31">
      <calculatedColumnFormula>$B$12*Max_cycle_table[[#This Row],[Shifts/day]]*Max_cycle_table[[#This Row],[Hours/shift]]*$B$11</calculatedColumnFormula>
    </tableColumn>
    <tableColumn id="4" xr3:uid="{8A4D25A6-5FB3-46F9-80D5-4C1F5024E4B9}" name="Takt time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2FB85F-ECEC-454F-8A5C-E863D0EC6758}" name="Scale_table" displayName="Scale_table" ref="A18:B22" totalsRowShown="0">
  <autoFilter ref="A18:B22" xr:uid="{BD2FB85F-ECEC-454F-8A5C-E863D0EC6758}"/>
  <tableColumns count="2">
    <tableColumn id="1" xr3:uid="{1788224F-438D-4A06-8AB2-6DACFB26A6FC}" name="Scaling factors"/>
    <tableColumn id="2" xr3:uid="{083B0656-A9DB-4DB5-BD40-067569DBA1B7}" name="Value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2AD3B9-DC5D-4E4E-89AD-D8ADD4215171}" name="Celltable" displayName="Celltable" ref="A2:M9" totalsRowShown="0">
  <autoFilter ref="A2:M9" xr:uid="{092AD3B9-DC5D-4E4E-89AD-D8ADD4215171}"/>
  <tableColumns count="13">
    <tableColumn id="1" xr3:uid="{06EA8C68-971D-4EB4-AB64-73294045F64C}" name="Layer"/>
    <tableColumn id="2" xr3:uid="{EB6E3BE7-D5F4-4FDA-BFA2-CBBB16A243F3}" name="Material" dataDxfId="28"/>
    <tableColumn id="3" xr3:uid="{317953D2-67DD-4D66-AF42-0EEC1B03A6D1}" name="Mat. Price">
      <calculatedColumnFormula>_xlfn.XLOOKUP(B3,Tabel2[Material],Tabel2[Cost],"Not found")</calculatedColumnFormula>
    </tableColumn>
    <tableColumn id="4" xr3:uid="{F3AE8A53-2AFD-467C-9966-97AFB9504BD1}" name="Thickness" dataDxfId="27"/>
    <tableColumn id="5" xr3:uid="{F2B538A1-6BB8-4728-A412-DA5104E9CAB9}" name="Porosity" dataDxfId="26"/>
    <tableColumn id="6" xr3:uid="{8526841F-8B50-4BF5-B2BC-421F7C1E198F}" name="Fraction in layer" dataDxfId="25"/>
    <tableColumn id="7" xr3:uid="{100D8D8C-C570-42DE-8FCD-AFCA292E6302}" name="Volume%" dataDxfId="24">
      <calculatedColumnFormula>F3*(1-E3)</calculatedColumnFormula>
    </tableColumn>
    <tableColumn id="8" xr3:uid="{D65A7D85-15D3-4999-9317-0E449FBEC553}" name="Mat. Density">
      <calculatedColumnFormula>_xlfn.XLOOKUP(B3,Tabel2[Material],Tabel2[Density],"Not found")</calculatedColumnFormula>
    </tableColumn>
    <tableColumn id="9" xr3:uid="{209D9F2B-C4C3-45BB-BB06-1C48D166BD95}" name="Mass" dataDxfId="23">
      <calculatedColumnFormula>H3*G3*D3/1000</calculatedColumnFormula>
    </tableColumn>
    <tableColumn id="10" xr3:uid="{510B762B-04F3-4531-A6E0-2F1F1CD90B23}" name="Cost per area" dataDxfId="22">
      <calculatedColumnFormula>I3*C3</calculatedColumnFormula>
    </tableColumn>
    <tableColumn id="11" xr3:uid="{4DB8C4AB-7364-48A9-A1D6-5C6C63A12117}" name="Area"/>
    <tableColumn id="12" xr3:uid="{61DDB080-596D-47A5-95ED-14C2E13793A4}" name="Cost per unit" dataDxfId="21">
      <calculatedColumnFormula>K3/100/100*J3/(1-'Cross-layer'!$B$19)</calculatedColumnFormula>
    </tableColumn>
    <tableColumn id="13" xr3:uid="{41D3ECC5-7813-4192-AC18-074F04BCB8D7}" name="Mass per unit" dataDxfId="20">
      <calculatedColumnFormula>K3/100/100*I3*1000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FA0F02-875D-4861-B622-28A6036FA115}" name="FrameTable" displayName="FrameTable" ref="A2:N9" totalsRowShown="0">
  <autoFilter ref="A2:N9" xr:uid="{23FA0F02-875D-4861-B622-28A6036FA115}"/>
  <tableColumns count="14">
    <tableColumn id="1" xr3:uid="{3AC7B73B-C899-42E9-B3D1-3120200984F9}" name="Layer"/>
    <tableColumn id="2" xr3:uid="{0A1E01BE-D660-41DD-9FEB-D16FB4F1C5F2}" name="Material">
      <calculatedColumnFormula>'Cross-layer'!$B$17</calculatedColumnFormula>
    </tableColumn>
    <tableColumn id="3" xr3:uid="{8EFCBE8D-0D8B-49DA-BD3C-350A9119CBF4}" name="Layers per SRU"/>
    <tableColumn id="4" xr3:uid="{54A5C64A-7BF0-485D-AF60-2B46037033E6}" name="Mat. Price">
      <calculatedColumnFormula>_xlfn.XLOOKUP(B3,Tabel2[Material],Tabel2[Cost],"Not found")</calculatedColumnFormula>
    </tableColumn>
    <tableColumn id="5" xr3:uid="{F8B98705-8765-4B4D-8DC4-0002DF2BBAB1}" name="Thickness" dataDxfId="19"/>
    <tableColumn id="6" xr3:uid="{EF804EDE-F9B4-4B3F-ADF0-A1E48BA6ABEB}" name="Porosity" dataDxfId="18"/>
    <tableColumn id="7" xr3:uid="{F48D4CAF-9FEA-41D2-8917-38AB33B8B975}" name="Fraction in layer" dataDxfId="17"/>
    <tableColumn id="8" xr3:uid="{0A72E11F-DF6E-4983-8FAE-C4C820BA4E08}" name="Volume%" dataDxfId="16">
      <calculatedColumnFormula>G3*(1-F3)</calculatedColumnFormula>
    </tableColumn>
    <tableColumn id="9" xr3:uid="{4D8CDB68-EF8D-4DDA-AC06-100D95DB4ED2}" name="Mat. Density">
      <calculatedColumnFormula>_xlfn.XLOOKUP(B3,Tabel2[Material],Tabel2[Density],"Not found")</calculatedColumnFormula>
    </tableColumn>
    <tableColumn id="10" xr3:uid="{84B875E8-6D0A-4C86-ADE3-32CCDAF3DED1}" name="Mass" dataDxfId="15">
      <calculatedColumnFormula>I3*E3/1000</calculatedColumnFormula>
    </tableColumn>
    <tableColumn id="11" xr3:uid="{AE672393-F291-43E3-8C00-73C8ED26A377}" name="Cost per area" dataDxfId="14">
      <calculatedColumnFormula>J3*D3-(1-H3)*'Cross-layer'!$B$15*D3*J3</calculatedColumnFormula>
    </tableColumn>
    <tableColumn id="12" xr3:uid="{E896B2AA-F47A-4E9D-A143-D2B602FD7F24}" name="Area">
      <calculatedColumnFormula>'Cross-layer'!$B$26</calculatedColumnFormula>
    </tableColumn>
    <tableColumn id="13" xr3:uid="{DD992E0D-AEFD-42D4-9301-B46F2E0861A3}" name="Cost per unit" dataDxfId="13">
      <calculatedColumnFormula>L3/100/100*K3</calculatedColumnFormula>
    </tableColumn>
    <tableColumn id="14" xr3:uid="{C7CAE283-CF1E-4B19-9913-CC2EE5B231A2}" name="Mass per unit" dataDxfId="12">
      <calculatedColumnFormula>L3/100/100*J3*1000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F3950FA-8665-4E38-B21B-374F6CB64B88}" name="MiscTable" displayName="MiscTable" ref="A2:M5" totalsRowShown="0">
  <autoFilter ref="A2:M5" xr:uid="{0F3950FA-8665-4E38-B21B-374F6CB64B88}"/>
  <tableColumns count="13">
    <tableColumn id="1" xr3:uid="{9ED1A8FD-D142-4A1A-913D-EABDD22B2634}" name="Layer"/>
    <tableColumn id="2" xr3:uid="{64EA48AE-A5BA-40E2-82BA-C96AA024DF0B}" name="Material" dataDxfId="11"/>
    <tableColumn id="3" xr3:uid="{7330D577-2FD4-4FB7-AEF0-B98A69F914FA}" name="Mat. Price"/>
    <tableColumn id="4" xr3:uid="{C0CF4179-2022-4C32-82CA-F5AF072FD64F}" name="Thickness"/>
    <tableColumn id="5" xr3:uid="{AB873696-D55F-421B-A845-125DA268DF68}" name="Porosity"/>
    <tableColumn id="6" xr3:uid="{D076BF3F-C409-44C1-9CF4-C875AB1981AD}" name="Fraction in layer"/>
    <tableColumn id="7" xr3:uid="{C9F344AC-79CE-4A89-AECE-9683148BE7E9}" name="Volume%"/>
    <tableColumn id="8" xr3:uid="{4043681F-5E2D-4E9C-97AC-DFD95EDAB646}" name="Mat. Density"/>
    <tableColumn id="9" xr3:uid="{B321DDCD-7E1A-4501-BD27-37732958B4A7}" name="Mass"/>
    <tableColumn id="10" xr3:uid="{26AF9085-6D06-4FAA-9CBE-5778AF6A3896}" name="Cost per area"/>
    <tableColumn id="11" xr3:uid="{DFE6899C-8949-4E70-86C3-BBF3D77D82CD}" name="Area"/>
    <tableColumn id="12" xr3:uid="{DE119570-DE04-4C33-A40D-25E37248E6F8}" name="Cost per unit" dataDxfId="10"/>
    <tableColumn id="13" xr3:uid="{4084731C-E810-426A-8DD5-74A8FFB9BBD7}" name="Mass per un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F12F11-0C96-4378-B766-343C28FD7539}" name="Tabel2" displayName="Tabel2" ref="A2:C16" totalsRowShown="0">
  <autoFilter ref="A2:C16" xr:uid="{C2F12F11-0C96-4378-B766-343C28FD7539}"/>
  <tableColumns count="3">
    <tableColumn id="1" xr3:uid="{CC8F520D-FE57-4E66-9352-828F099474FA}" name="Material"/>
    <tableColumn id="2" xr3:uid="{648AE239-C7DD-44C7-B40D-D0B07620491E}" name="Cost"/>
    <tableColumn id="3" xr3:uid="{817B05DB-4A8F-4EFC-8CBA-6E355BBC308F}" name="Dens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525809-BF0F-432C-9556-A2C25E1B4F10}" name="Tabel3" displayName="Tabel3" ref="A1:E41" totalsRowShown="0" headerRowDxfId="9" dataDxfId="7" headerRowBorderDxfId="8" tableBorderDxfId="6" totalsRowBorderDxfId="5">
  <autoFilter ref="A1:E41" xr:uid="{6E525809-BF0F-432C-9556-A2C25E1B4F10}"/>
  <tableColumns count="5">
    <tableColumn id="1" xr3:uid="{E22460B3-806B-40BC-B2A4-72D07C1DB24D}" name="T (°C)" dataDxfId="4"/>
    <tableColumn id="2" xr3:uid="{70F14728-D4B2-4706-9051-A5BFD8BEC63F}" name="ΔH° (kJ/mol)" dataDxfId="3"/>
    <tableColumn id="3" xr3:uid="{B2630A06-53AB-4A45-8CBF-BB84D69303B7}" name="ΔS° (J/(K mol))" dataDxfId="2"/>
    <tableColumn id="4" xr3:uid="{3944A38A-6687-43DD-8EA2-B74F74A2AC33}" name="ΔG° (kJ/mol)" dataDxfId="1"/>
    <tableColumn id="5" xr3:uid="{713E16EF-B3DB-4581-9EC2-676B04BDDCD7}" name="T (K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juser.fz-juelich.de/record/842212/files/Energie_Umwelt_39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746B-796A-4E3D-8AC2-C7B49AE8A310}">
  <sheetPr>
    <tabColor theme="8"/>
  </sheetPr>
  <dimension ref="A1:S66"/>
  <sheetViews>
    <sheetView tabSelected="1" zoomScale="130" zoomScaleNormal="130" workbookViewId="0">
      <selection activeCell="G9" sqref="G9"/>
    </sheetView>
  </sheetViews>
  <sheetFormatPr defaultColWidth="8.85546875" defaultRowHeight="15" x14ac:dyDescent="0.25"/>
  <cols>
    <col min="1" max="1" width="24.7109375" bestFit="1" customWidth="1"/>
    <col min="2" max="2" width="9" bestFit="1" customWidth="1"/>
    <col min="3" max="3" width="9.7109375" bestFit="1" customWidth="1"/>
    <col min="4" max="4" width="12.5703125" bestFit="1" customWidth="1"/>
    <col min="16" max="16" width="15.28515625" bestFit="1" customWidth="1"/>
  </cols>
  <sheetData>
    <row r="1" spans="1:19" x14ac:dyDescent="0.25">
      <c r="B1" t="s">
        <v>198</v>
      </c>
      <c r="C1" t="s">
        <v>2</v>
      </c>
      <c r="D1" t="s">
        <v>198</v>
      </c>
      <c r="E1" t="s">
        <v>2</v>
      </c>
      <c r="F1" t="s">
        <v>102</v>
      </c>
      <c r="G1" t="s">
        <v>2</v>
      </c>
      <c r="P1" t="s">
        <v>274</v>
      </c>
    </row>
    <row r="2" spans="1:19" x14ac:dyDescent="0.25">
      <c r="A2" t="s">
        <v>275</v>
      </c>
      <c r="B2" s="60">
        <f>SUM(B4:B9)</f>
        <v>0.11569800788948084</v>
      </c>
      <c r="C2" t="s">
        <v>276</v>
      </c>
      <c r="D2" s="7">
        <f>SUM(D4:D9)</f>
        <v>9.2558406311584669</v>
      </c>
      <c r="E2" t="s">
        <v>277</v>
      </c>
      <c r="F2" s="7">
        <f>SUM(F4:F6)</f>
        <v>183.35352577588699</v>
      </c>
      <c r="G2" t="s">
        <v>270</v>
      </c>
      <c r="P2" s="7">
        <f>SUM(P4:P9)</f>
        <v>555.35043786950791</v>
      </c>
      <c r="S2" s="7"/>
    </row>
    <row r="4" spans="1:19" x14ac:dyDescent="0.25">
      <c r="A4" t="s">
        <v>278</v>
      </c>
      <c r="B4" s="36">
        <f>SUM(Cell!L3:L1048576)/'Cross-layer'!B24</f>
        <v>7.1937234042553184E-3</v>
      </c>
      <c r="C4" t="s">
        <v>276</v>
      </c>
      <c r="D4" s="11">
        <f>SUM(Cell!L3:L1048576)</f>
        <v>0.57549787234042549</v>
      </c>
      <c r="E4" t="s">
        <v>277</v>
      </c>
      <c r="F4" s="7">
        <f>SUM(Cell!M3:M1048576)</f>
        <v>8.8302399999999981</v>
      </c>
      <c r="G4" t="s">
        <v>270</v>
      </c>
      <c r="P4" s="7">
        <f>D4*'Cross-layer'!$B$3</f>
        <v>34.529872340425527</v>
      </c>
    </row>
    <row r="5" spans="1:19" x14ac:dyDescent="0.25">
      <c r="A5" t="s">
        <v>279</v>
      </c>
      <c r="B5" s="36">
        <f>SUM(Frame!M3:M1048576)/'Cross-layer'!B24</f>
        <v>4.3701409592640891E-2</v>
      </c>
      <c r="C5" t="s">
        <v>276</v>
      </c>
      <c r="D5" s="11">
        <f>SUM(Frame!M3:M1048576)</f>
        <v>3.4961127674112711</v>
      </c>
      <c r="E5" t="s">
        <v>277</v>
      </c>
      <c r="F5" s="7">
        <f>SUM(Frame!N3:N1048576)</f>
        <v>167.59579199999993</v>
      </c>
      <c r="G5" t="s">
        <v>270</v>
      </c>
      <c r="P5" s="7">
        <f>D5*'Cross-layer'!$B$3</f>
        <v>209.76676604467627</v>
      </c>
    </row>
    <row r="6" spans="1:19" x14ac:dyDescent="0.25">
      <c r="A6" t="s">
        <v>280</v>
      </c>
      <c r="B6" s="36">
        <f>SUM(Misc!L3:L1048576)/'Cross-layer'!B24</f>
        <v>1.2416736128457232E-2</v>
      </c>
      <c r="C6" t="s">
        <v>276</v>
      </c>
      <c r="D6" s="11">
        <f>SUM(Misc!L3:L1048576)</f>
        <v>0.99333889027657862</v>
      </c>
      <c r="E6" t="s">
        <v>277</v>
      </c>
      <c r="F6" s="7">
        <f>SUM(Misc!M3:M1048576)</f>
        <v>6.9274937758870649</v>
      </c>
      <c r="G6" t="s">
        <v>270</v>
      </c>
      <c r="P6" s="7">
        <f>D6*'Cross-layer'!$B$3</f>
        <v>59.600333416594715</v>
      </c>
    </row>
    <row r="7" spans="1:19" x14ac:dyDescent="0.25">
      <c r="A7" t="s">
        <v>281</v>
      </c>
      <c r="B7" s="36">
        <f>D7/'Cross-layer'!$B$24</f>
        <v>2.7498191357341994E-2</v>
      </c>
      <c r="C7" t="s">
        <v>276</v>
      </c>
      <c r="D7" s="57">
        <f>SUM('Manufacturing calc'!U:U)</f>
        <v>2.1998553085873596</v>
      </c>
      <c r="E7" t="s">
        <v>277</v>
      </c>
      <c r="P7" s="7">
        <f>D7*'Cross-layer'!$B$3</f>
        <v>131.99131851524157</v>
      </c>
    </row>
    <row r="8" spans="1:19" x14ac:dyDescent="0.25">
      <c r="A8" t="s">
        <v>282</v>
      </c>
      <c r="B8" s="36">
        <f>D8/'Cross-layer'!$B$24</f>
        <v>1.7313510065355885E-2</v>
      </c>
      <c r="C8" t="s">
        <v>276</v>
      </c>
      <c r="D8" s="57">
        <f>SUM('Manufacturing calc'!V:V)</f>
        <v>1.3850808052284707</v>
      </c>
      <c r="E8" t="s">
        <v>277</v>
      </c>
      <c r="P8" s="7">
        <f>D8*'Cross-layer'!$B$3</f>
        <v>83.104848313708246</v>
      </c>
    </row>
    <row r="9" spans="1:19" x14ac:dyDescent="0.25">
      <c r="A9" t="s">
        <v>283</v>
      </c>
      <c r="B9" s="36">
        <f>D9/'Cross-layer'!$B$24</f>
        <v>7.5744373414295182E-3</v>
      </c>
      <c r="C9" t="s">
        <v>276</v>
      </c>
      <c r="D9" s="57">
        <f>SUM('Manufacturing calc'!W:W)</f>
        <v>0.60595498731436148</v>
      </c>
      <c r="E9" t="s">
        <v>277</v>
      </c>
      <c r="P9" s="7">
        <f>D9*'Cross-layer'!$B$3</f>
        <v>36.357299238861685</v>
      </c>
    </row>
    <row r="12" spans="1:19" x14ac:dyDescent="0.25">
      <c r="A12" t="s">
        <v>284</v>
      </c>
      <c r="B12" t="s">
        <v>276</v>
      </c>
      <c r="C12" t="s">
        <v>277</v>
      </c>
      <c r="E12">
        <f>0.004867+0.0178170525499999</f>
        <v>2.2684052549999899E-2</v>
      </c>
    </row>
    <row r="13" spans="1:19" x14ac:dyDescent="0.25">
      <c r="A13" s="1" t="s">
        <v>278</v>
      </c>
      <c r="B13" s="24">
        <f>SUM(B14:B19)</f>
        <v>7.1937234042553184E-3</v>
      </c>
      <c r="C13" s="25">
        <f>SUM(C14:C19)</f>
        <v>0.57549787234042549</v>
      </c>
      <c r="E13" s="59"/>
    </row>
    <row r="14" spans="1:19" x14ac:dyDescent="0.25">
      <c r="A14" s="26" t="s">
        <v>108</v>
      </c>
      <c r="B14" s="27">
        <f>Cell!L3/'Cross-layer'!$B$24</f>
        <v>7.7409574468085098E-4</v>
      </c>
      <c r="C14" s="28">
        <f>B14*'Cross-layer'!$B$24</f>
        <v>6.192765957446808E-2</v>
      </c>
    </row>
    <row r="15" spans="1:19" x14ac:dyDescent="0.25">
      <c r="A15" t="s">
        <v>111</v>
      </c>
      <c r="B15" s="29">
        <f>Cell!L4/'Cross-layer'!$B$24</f>
        <v>7.7409574468085098E-4</v>
      </c>
      <c r="C15" s="30">
        <f>B15*'Cross-layer'!$B$24</f>
        <v>6.192765957446808E-2</v>
      </c>
    </row>
    <row r="16" spans="1:19" x14ac:dyDescent="0.25">
      <c r="A16" t="s">
        <v>113</v>
      </c>
      <c r="B16" s="29">
        <f>Cell!L5/'Cross-layer'!$B$24</f>
        <v>1.9715744680851065E-3</v>
      </c>
      <c r="C16" s="30">
        <f>B16*'Cross-layer'!$B$24</f>
        <v>0.15772595744680851</v>
      </c>
      <c r="E16" s="5"/>
    </row>
    <row r="17" spans="1:6" x14ac:dyDescent="0.25">
      <c r="A17" t="s">
        <v>115</v>
      </c>
      <c r="B17" s="29">
        <f>Cell!L6/'Cross-layer'!$B$24</f>
        <v>1.9905319148936168E-3</v>
      </c>
      <c r="C17" s="30">
        <f>B17*'Cross-layer'!$B$24</f>
        <v>0.15924255319148933</v>
      </c>
      <c r="E17" s="5"/>
    </row>
    <row r="18" spans="1:6" x14ac:dyDescent="0.25">
      <c r="A18" t="s">
        <v>285</v>
      </c>
      <c r="B18" s="29">
        <f>(Cell!L7+Cell!L8)/'Cross-layer'!$B$24</f>
        <v>1.5387340425531914E-3</v>
      </c>
      <c r="C18" s="30">
        <f>B18*'Cross-layer'!$B$24</f>
        <v>0.12309872340425532</v>
      </c>
      <c r="F18" s="19"/>
    </row>
    <row r="19" spans="1:6" x14ac:dyDescent="0.25">
      <c r="A19" s="20" t="s">
        <v>286</v>
      </c>
      <c r="B19" s="31">
        <f>(Cell!L9+Cell!L10)/'Cross-layer'!$B$24</f>
        <v>1.4469148936170211E-4</v>
      </c>
      <c r="C19" s="32">
        <f>B19*'Cross-layer'!$B$24</f>
        <v>1.157531914893617E-2</v>
      </c>
      <c r="F19" s="19"/>
    </row>
    <row r="20" spans="1:6" x14ac:dyDescent="0.25">
      <c r="A20" s="1" t="s">
        <v>66</v>
      </c>
      <c r="B20" s="24">
        <f>SUM(B21:B24)</f>
        <v>4.3701409592640891E-2</v>
      </c>
      <c r="C20" s="25">
        <f>SUM(C21:C24)</f>
        <v>3.4961127674112711</v>
      </c>
      <c r="F20" s="19"/>
    </row>
    <row r="21" spans="1:6" x14ac:dyDescent="0.25">
      <c r="A21" s="26" t="s">
        <v>287</v>
      </c>
      <c r="B21" s="27">
        <f>(Frame!M3+Frame!M4)/'Cross-layer'!B24</f>
        <v>9.3817276610981323E-3</v>
      </c>
      <c r="C21" s="28">
        <f>B21*'Cross-layer'!$B$24</f>
        <v>0.75053821288785061</v>
      </c>
      <c r="E21" s="7"/>
      <c r="F21" s="19"/>
    </row>
    <row r="22" spans="1:6" x14ac:dyDescent="0.25">
      <c r="A22" t="s">
        <v>288</v>
      </c>
      <c r="B22" s="29">
        <f>(Frame!M6+Frame!M7+Frame!M8)/'Cross-layer'!B24</f>
        <v>2.8702488688798301E-2</v>
      </c>
      <c r="C22" s="30">
        <f>B22*'Cross-layer'!$B$24</f>
        <v>2.296199095103864</v>
      </c>
      <c r="F22" s="19"/>
    </row>
    <row r="23" spans="1:6" x14ac:dyDescent="0.25">
      <c r="A23" t="s">
        <v>289</v>
      </c>
      <c r="B23" s="29">
        <f>Frame!M5/'Cross-layer'!B24</f>
        <v>6.0184213315119179E-4</v>
      </c>
      <c r="C23" s="30">
        <f>B23*'Cross-layer'!$B$24</f>
        <v>4.8147370652095345E-2</v>
      </c>
    </row>
    <row r="24" spans="1:6" x14ac:dyDescent="0.25">
      <c r="A24" s="20" t="s">
        <v>290</v>
      </c>
      <c r="B24" s="31">
        <f>Frame!M9/'Cross-layer'!B24</f>
        <v>5.0153511095932645E-3</v>
      </c>
      <c r="C24" s="32">
        <f>B24*'Cross-layer'!$B$24</f>
        <v>0.40122808876746119</v>
      </c>
    </row>
    <row r="25" spans="1:6" x14ac:dyDescent="0.25">
      <c r="A25" s="1" t="s">
        <v>291</v>
      </c>
      <c r="B25" s="24">
        <f>SUM(B26:B28)</f>
        <v>1.2416736128457232E-2</v>
      </c>
      <c r="C25" s="25">
        <f>SUM(C26:C28)</f>
        <v>0.99333889027657862</v>
      </c>
    </row>
    <row r="26" spans="1:6" x14ac:dyDescent="0.25">
      <c r="A26" s="26" t="s">
        <v>135</v>
      </c>
      <c r="B26" s="27">
        <f>Misc!L3/'Cross-layer'!$B$24</f>
        <v>2.0726395825541046E-3</v>
      </c>
      <c r="C26" s="33">
        <f>Misc!L3</f>
        <v>0.16581116660432837</v>
      </c>
    </row>
    <row r="27" spans="1:6" x14ac:dyDescent="0.25">
      <c r="A27" t="s">
        <v>137</v>
      </c>
      <c r="B27" s="29">
        <f>Misc!L4/'Cross-layer'!$B$24</f>
        <v>7.6440965459031287E-3</v>
      </c>
      <c r="C27" s="7">
        <f>Misc!L4</f>
        <v>0.61152772367225028</v>
      </c>
    </row>
    <row r="28" spans="1:6" x14ac:dyDescent="0.25">
      <c r="A28" s="20" t="s">
        <v>140</v>
      </c>
      <c r="B28" s="31">
        <f>Misc!L5/'Cross-layer'!$B$24</f>
        <v>2.7000000000000001E-3</v>
      </c>
      <c r="C28" s="34">
        <f>Misc!L5</f>
        <v>0.216</v>
      </c>
    </row>
    <row r="29" spans="1:6" x14ac:dyDescent="0.25">
      <c r="A29" s="1" t="s">
        <v>292</v>
      </c>
      <c r="B29" s="24">
        <f>SUM(B30:B34)</f>
        <v>5.2386138764127399E-2</v>
      </c>
      <c r="C29" s="25">
        <f>SUM(C30:C34)</f>
        <v>4.1908911011301928</v>
      </c>
    </row>
    <row r="30" spans="1:6" x14ac:dyDescent="0.25">
      <c r="A30" s="26" t="str">
        <f>A40</f>
        <v>Interconnects and frames</v>
      </c>
      <c r="B30" s="27">
        <f>C30/'Cross-layer'!$B$24</f>
        <v>1.2304071795311126E-2</v>
      </c>
      <c r="C30" s="28">
        <f>SUM(B40:D40)</f>
        <v>0.98432574362489</v>
      </c>
    </row>
    <row r="31" spans="1:6" x14ac:dyDescent="0.25">
      <c r="A31" t="str">
        <f t="shared" ref="A31:A34" si="0">A41</f>
        <v>Dies</v>
      </c>
      <c r="B31" s="29">
        <f>C31/'Cross-layer'!$B$24</f>
        <v>4.4756465689807018E-3</v>
      </c>
      <c r="C31" s="30">
        <f t="shared" ref="C31:C34" si="1">SUM(B41:D41)</f>
        <v>0.35805172551845615</v>
      </c>
    </row>
    <row r="32" spans="1:6" x14ac:dyDescent="0.25">
      <c r="A32" t="str">
        <f t="shared" si="0"/>
        <v>Cells and glass sealants</v>
      </c>
      <c r="B32" s="29">
        <f>C32/'Cross-layer'!$B$24</f>
        <v>1.6645713163873942E-2</v>
      </c>
      <c r="C32" s="30">
        <f t="shared" si="1"/>
        <v>1.3316570531099154</v>
      </c>
    </row>
    <row r="33" spans="1:4" x14ac:dyDescent="0.25">
      <c r="A33" t="str">
        <f t="shared" si="0"/>
        <v>Pre-assembly</v>
      </c>
      <c r="B33" s="29">
        <f>C33/'Cross-layer'!$B$24</f>
        <v>8.4109441737185622E-3</v>
      </c>
      <c r="C33" s="30">
        <f t="shared" si="1"/>
        <v>0.672875533897485</v>
      </c>
    </row>
    <row r="34" spans="1:4" x14ac:dyDescent="0.25">
      <c r="A34" s="20" t="str">
        <f t="shared" si="0"/>
        <v>Final assembly</v>
      </c>
      <c r="B34" s="31">
        <f>C34/'Cross-layer'!$B$24</f>
        <v>1.0549763062243072E-2</v>
      </c>
      <c r="C34" s="32">
        <f t="shared" si="1"/>
        <v>0.84398104497944582</v>
      </c>
    </row>
    <row r="39" spans="1:4" x14ac:dyDescent="0.25">
      <c r="A39" t="s">
        <v>293</v>
      </c>
      <c r="B39" t="s">
        <v>294</v>
      </c>
      <c r="C39" t="s">
        <v>295</v>
      </c>
      <c r="D39" t="s">
        <v>158</v>
      </c>
    </row>
    <row r="40" spans="1:4" x14ac:dyDescent="0.25">
      <c r="A40" s="26" t="str">
        <f>'Manufacturing calc'!B12</f>
        <v>Interconnects and frames</v>
      </c>
      <c r="B40" s="4">
        <f>SUMIF('Manufacturing calc'!$B:$B,$A40,'Manufacturing calc'!U:U)</f>
        <v>0.69278914634105393</v>
      </c>
      <c r="C40" s="4">
        <f>SUMIF('Manufacturing calc'!$B:$B,$A40,'Manufacturing calc'!V:V)</f>
        <v>0.17347764253503312</v>
      </c>
      <c r="D40" s="4">
        <f>SUMIF('Manufacturing calc'!$B:$B,$A40,'Manufacturing calc'!W:W)</f>
        <v>0.11805895474880293</v>
      </c>
    </row>
    <row r="41" spans="1:4" x14ac:dyDescent="0.25">
      <c r="A41" t="s">
        <v>180</v>
      </c>
      <c r="B41" s="4">
        <f>SUMIF('Manufacturing calc'!$B:$B,$A41,'Manufacturing calc'!U:U)</f>
        <v>0.35805172551845615</v>
      </c>
      <c r="C41" s="4">
        <f>SUMIF('Manufacturing calc'!$B:$B,$A41,'Manufacturing calc'!V:V)</f>
        <v>0</v>
      </c>
      <c r="D41" s="4">
        <f>SUMIF('Manufacturing calc'!$B:$B,$A41,'Manufacturing calc'!W:W)</f>
        <v>0</v>
      </c>
    </row>
    <row r="42" spans="1:4" x14ac:dyDescent="0.25">
      <c r="A42" t="s">
        <v>182</v>
      </c>
      <c r="B42" s="4">
        <f>SUMIF('Manufacturing calc'!$B:$B,$A42,'Manufacturing calc'!U:U)</f>
        <v>0.56910462275822338</v>
      </c>
      <c r="C42" s="4">
        <f>SUMIF('Manufacturing calc'!$B:$B,$A42,'Manufacturing calc'!V:V)</f>
        <v>0.56701944363671597</v>
      </c>
      <c r="D42" s="4">
        <f>SUMIF('Manufacturing calc'!$B:$B,$A42,'Manufacturing calc'!W:W)</f>
        <v>0.19553298671497588</v>
      </c>
    </row>
    <row r="43" spans="1:4" x14ac:dyDescent="0.25">
      <c r="A43" t="s">
        <v>192</v>
      </c>
      <c r="B43" s="4">
        <f>SUMIF('Manufacturing calc'!$B:$B,$A43,'Manufacturing calc'!U:U)</f>
        <v>0.32395315877972608</v>
      </c>
      <c r="C43" s="4">
        <f>SUMIF('Manufacturing calc'!$B:$B,$A43,'Manufacturing calc'!V:V)</f>
        <v>0.30057487927771603</v>
      </c>
      <c r="D43" s="4">
        <f>SUMIF('Manufacturing calc'!$B:$B,$A43,'Manufacturing calc'!W:W)</f>
        <v>4.8347495840042942E-2</v>
      </c>
    </row>
    <row r="44" spans="1:4" x14ac:dyDescent="0.25">
      <c r="A44" t="s">
        <v>196</v>
      </c>
      <c r="B44" s="4">
        <f>SUMIF('Manufacturing calc'!$B:$B,$A44,'Manufacturing calc'!U:U)</f>
        <v>0.25595665518990041</v>
      </c>
      <c r="C44" s="4">
        <f>SUMIF('Manufacturing calc'!$B:$B,$A44,'Manufacturing calc'!V:V)</f>
        <v>0.34400883977900554</v>
      </c>
      <c r="D44" s="4">
        <f>SUMIF('Manufacturing calc'!$B:$B,$A44,'Manufacturing calc'!W:W)</f>
        <v>0.24401555001053982</v>
      </c>
    </row>
    <row r="47" spans="1:4" x14ac:dyDescent="0.25">
      <c r="A47" t="s">
        <v>296</v>
      </c>
      <c r="B47" s="15">
        <f>Performance!J8</f>
        <v>4.9448780639477636</v>
      </c>
      <c r="C47" t="s">
        <v>297</v>
      </c>
    </row>
    <row r="48" spans="1:4" x14ac:dyDescent="0.25">
      <c r="A48" t="s">
        <v>298</v>
      </c>
      <c r="B48" s="57">
        <f>B47/'Cross-layer'!B3</f>
        <v>8.2414634399129397E-2</v>
      </c>
      <c r="C48" t="s">
        <v>299</v>
      </c>
    </row>
    <row r="50" spans="1:3" x14ac:dyDescent="0.25">
      <c r="A50" t="s">
        <v>300</v>
      </c>
      <c r="B50" s="7">
        <f>D2/$B$48</f>
        <v>112.30821684329698</v>
      </c>
      <c r="C50" t="s">
        <v>301</v>
      </c>
    </row>
    <row r="52" spans="1:3" x14ac:dyDescent="0.25">
      <c r="A52" t="s">
        <v>278</v>
      </c>
      <c r="B52" s="7">
        <f>D4/$B$48</f>
        <v>6.9829572931589059</v>
      </c>
      <c r="C52" t="s">
        <v>301</v>
      </c>
    </row>
    <row r="53" spans="1:3" x14ac:dyDescent="0.25">
      <c r="A53" t="s">
        <v>279</v>
      </c>
      <c r="B53" s="7">
        <f t="shared" ref="B53:B57" si="2">D5/$B$48</f>
        <v>42.421018947676153</v>
      </c>
      <c r="C53" t="s">
        <v>301</v>
      </c>
    </row>
    <row r="54" spans="1:3" x14ac:dyDescent="0.25">
      <c r="A54" t="s">
        <v>280</v>
      </c>
      <c r="B54" s="7">
        <f t="shared" si="2"/>
        <v>12.052942993909246</v>
      </c>
      <c r="C54" t="s">
        <v>301</v>
      </c>
    </row>
    <row r="55" spans="1:3" x14ac:dyDescent="0.25">
      <c r="A55" t="s">
        <v>281</v>
      </c>
      <c r="B55" s="7">
        <f t="shared" si="2"/>
        <v>26.692532517144773</v>
      </c>
      <c r="C55" t="s">
        <v>301</v>
      </c>
    </row>
    <row r="56" spans="1:3" x14ac:dyDescent="0.25">
      <c r="A56" t="s">
        <v>282</v>
      </c>
      <c r="B56" s="7">
        <f t="shared" si="2"/>
        <v>16.806248251015749</v>
      </c>
      <c r="C56" t="s">
        <v>301</v>
      </c>
    </row>
    <row r="57" spans="1:3" x14ac:dyDescent="0.25">
      <c r="A57" t="s">
        <v>283</v>
      </c>
      <c r="B57" s="7">
        <f t="shared" si="2"/>
        <v>7.3525168403921546</v>
      </c>
      <c r="C57" t="s">
        <v>301</v>
      </c>
    </row>
    <row r="59" spans="1:3" x14ac:dyDescent="0.25">
      <c r="A59" t="s">
        <v>302</v>
      </c>
      <c r="B59" s="17">
        <f>B60*B61*B66/1000</f>
        <v>1.2891983999999999</v>
      </c>
      <c r="C59" t="s">
        <v>303</v>
      </c>
    </row>
    <row r="60" spans="1:3" x14ac:dyDescent="0.25">
      <c r="A60" t="s">
        <v>304</v>
      </c>
      <c r="B60">
        <f>'Cross-layer'!B22</f>
        <v>12.2</v>
      </c>
      <c r="C60" t="s">
        <v>7</v>
      </c>
    </row>
    <row r="61" spans="1:3" x14ac:dyDescent="0.25">
      <c r="A61" t="s">
        <v>305</v>
      </c>
      <c r="B61">
        <f>'Cross-layer'!B23</f>
        <v>10.199999999999999</v>
      </c>
      <c r="C61" t="s">
        <v>7</v>
      </c>
    </row>
    <row r="63" spans="1:3" x14ac:dyDescent="0.25">
      <c r="A63" t="s">
        <v>306</v>
      </c>
      <c r="B63">
        <f>(Frame!E3+Frame!E7+Frame!E8)/10000*'Cross-layer'!B3</f>
        <v>9</v>
      </c>
      <c r="C63" t="s">
        <v>7</v>
      </c>
    </row>
    <row r="64" spans="1:3" x14ac:dyDescent="0.25">
      <c r="A64" t="s">
        <v>307</v>
      </c>
      <c r="B64">
        <f>(Frame!E4+Frame!E5+Frame!E6+Frame!E9)/Frame!R2/10000</f>
        <v>1.36</v>
      </c>
      <c r="C64" t="s">
        <v>7</v>
      </c>
    </row>
    <row r="66" spans="1:3" x14ac:dyDescent="0.25">
      <c r="A66" t="s">
        <v>308</v>
      </c>
      <c r="B66">
        <f>B63+B64</f>
        <v>10.36</v>
      </c>
      <c r="C66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835A-6E5D-4C64-BA39-9BE2954F730D}">
  <sheetPr>
    <tabColor theme="6"/>
  </sheetPr>
  <dimension ref="A1:L38"/>
  <sheetViews>
    <sheetView zoomScale="145" zoomScaleNormal="145" workbookViewId="0">
      <selection activeCell="B12" sqref="B12:B17"/>
    </sheetView>
  </sheetViews>
  <sheetFormatPr defaultRowHeight="15" x14ac:dyDescent="0.25"/>
  <cols>
    <col min="1" max="1" width="30.7109375" bestFit="1" customWidth="1"/>
    <col min="2" max="2" width="10.42578125" bestFit="1" customWidth="1"/>
    <col min="4" max="4" width="35.42578125" customWidth="1"/>
    <col min="5" max="5" width="29.28515625" bestFit="1" customWidth="1"/>
    <col min="6" max="6" width="14.42578125" bestFit="1" customWidth="1"/>
    <col min="7" max="7" width="19.42578125" bestFit="1" customWidth="1"/>
    <col min="9" max="9" width="31.5703125" customWidth="1"/>
    <col min="10" max="10" width="14.85546875" customWidth="1"/>
    <col min="11" max="11" width="13.85546875" bestFit="1" customWidth="1"/>
  </cols>
  <sheetData>
    <row r="1" spans="1:12" x14ac:dyDescent="0.25">
      <c r="A1" s="1" t="s">
        <v>309</v>
      </c>
      <c r="B1" s="1" t="s">
        <v>65</v>
      </c>
      <c r="C1" s="1" t="s">
        <v>2</v>
      </c>
      <c r="D1" s="1" t="s">
        <v>310</v>
      </c>
      <c r="E1" s="1" t="s">
        <v>311</v>
      </c>
      <c r="F1" s="1" t="s">
        <v>65</v>
      </c>
      <c r="G1" s="1" t="s">
        <v>2</v>
      </c>
      <c r="H1" s="1" t="s">
        <v>310</v>
      </c>
      <c r="I1" s="1" t="s">
        <v>312</v>
      </c>
      <c r="J1" s="1" t="s">
        <v>65</v>
      </c>
      <c r="K1" s="1" t="s">
        <v>2</v>
      </c>
      <c r="L1" s="1" t="s">
        <v>310</v>
      </c>
    </row>
    <row r="2" spans="1:12" x14ac:dyDescent="0.25">
      <c r="A2" s="61" t="s">
        <v>313</v>
      </c>
      <c r="E2" t="s">
        <v>314</v>
      </c>
      <c r="F2" s="62">
        <v>96485</v>
      </c>
      <c r="G2" t="s">
        <v>315</v>
      </c>
      <c r="I2" s="61" t="s">
        <v>316</v>
      </c>
    </row>
    <row r="3" spans="1:12" x14ac:dyDescent="0.25">
      <c r="A3" t="s">
        <v>317</v>
      </c>
      <c r="B3" s="22">
        <v>-0.8</v>
      </c>
      <c r="C3" t="s">
        <v>318</v>
      </c>
      <c r="E3" t="s">
        <v>319</v>
      </c>
      <c r="F3" s="63">
        <v>8.3145000000000007</v>
      </c>
      <c r="G3" t="s">
        <v>320</v>
      </c>
      <c r="I3" t="s">
        <v>321</v>
      </c>
      <c r="J3" s="57">
        <f>-B3*F10*F11/(F4*F2)</f>
        <v>1.989946623827538E-2</v>
      </c>
      <c r="K3" t="s">
        <v>322</v>
      </c>
    </row>
    <row r="4" spans="1:12" x14ac:dyDescent="0.25">
      <c r="A4" t="s">
        <v>323</v>
      </c>
      <c r="B4" s="72">
        <f>F17</f>
        <v>1.2877286624863968</v>
      </c>
      <c r="C4" t="s">
        <v>324</v>
      </c>
      <c r="E4" t="s">
        <v>325</v>
      </c>
      <c r="F4" s="62">
        <v>2</v>
      </c>
      <c r="G4" t="s">
        <v>326</v>
      </c>
      <c r="I4" t="s">
        <v>327</v>
      </c>
      <c r="J4" s="57">
        <f>2.016*J3*3.6</f>
        <v>0.1444223661709074</v>
      </c>
      <c r="K4" t="s">
        <v>328</v>
      </c>
    </row>
    <row r="5" spans="1:12" x14ac:dyDescent="0.25">
      <c r="A5" t="s">
        <v>329</v>
      </c>
      <c r="B5" s="22">
        <v>850</v>
      </c>
      <c r="C5" t="s">
        <v>330</v>
      </c>
      <c r="D5" t="s">
        <v>331</v>
      </c>
      <c r="E5" t="s">
        <v>332</v>
      </c>
      <c r="F5" s="64">
        <v>1</v>
      </c>
      <c r="I5" t="s">
        <v>333</v>
      </c>
      <c r="J5" s="57">
        <f>J3*22.4</f>
        <v>0.44574804373736848</v>
      </c>
      <c r="K5" t="s">
        <v>334</v>
      </c>
    </row>
    <row r="6" spans="1:12" x14ac:dyDescent="0.25">
      <c r="A6" t="s">
        <v>335</v>
      </c>
      <c r="B6" s="22">
        <v>5</v>
      </c>
      <c r="C6" t="s">
        <v>336</v>
      </c>
      <c r="E6" t="s">
        <v>337</v>
      </c>
      <c r="F6" s="65">
        <f>2.016+15.999</f>
        <v>18.015000000000001</v>
      </c>
      <c r="G6" t="s">
        <v>338</v>
      </c>
      <c r="I6" t="s">
        <v>339</v>
      </c>
      <c r="J6" s="18">
        <f>F17/B4</f>
        <v>1</v>
      </c>
      <c r="K6" t="s">
        <v>58</v>
      </c>
    </row>
    <row r="7" spans="1:12" x14ac:dyDescent="0.25">
      <c r="A7" t="s">
        <v>340</v>
      </c>
      <c r="B7" s="23">
        <v>0.8</v>
      </c>
      <c r="E7" t="s">
        <v>341</v>
      </c>
      <c r="F7" s="65">
        <v>33.332999999999998</v>
      </c>
      <c r="G7" t="s">
        <v>342</v>
      </c>
      <c r="I7" t="s">
        <v>343</v>
      </c>
      <c r="J7" s="8">
        <f>F7/J10</f>
        <v>34.239004629629626</v>
      </c>
      <c r="K7" t="s">
        <v>344</v>
      </c>
    </row>
    <row r="8" spans="1:12" x14ac:dyDescent="0.25">
      <c r="A8" t="s">
        <v>345</v>
      </c>
      <c r="B8" s="82">
        <v>7.7000000000000002E-3</v>
      </c>
      <c r="C8" t="s">
        <v>346</v>
      </c>
      <c r="E8" t="s">
        <v>347</v>
      </c>
      <c r="F8" s="66">
        <v>0.85119999999999996</v>
      </c>
      <c r="G8" t="s">
        <v>348</v>
      </c>
      <c r="I8" t="s">
        <v>349</v>
      </c>
      <c r="J8" s="3">
        <f>-B3*F10*F11*B4/1000</f>
        <v>4.9448780639477636</v>
      </c>
      <c r="K8" t="s">
        <v>350</v>
      </c>
    </row>
    <row r="9" spans="1:12" x14ac:dyDescent="0.25">
      <c r="A9" t="s">
        <v>351</v>
      </c>
      <c r="B9" s="23">
        <v>0.15</v>
      </c>
      <c r="I9" t="s">
        <v>352</v>
      </c>
      <c r="J9" s="3">
        <f>J4*F7</f>
        <v>4.8140307315748556</v>
      </c>
      <c r="K9" t="s">
        <v>353</v>
      </c>
    </row>
    <row r="10" spans="1:12" x14ac:dyDescent="0.25">
      <c r="E10" t="s">
        <v>243</v>
      </c>
      <c r="F10" s="50">
        <f>'Cross-layer'!B24</f>
        <v>80</v>
      </c>
      <c r="I10" t="s">
        <v>354</v>
      </c>
      <c r="J10" s="67">
        <f>J9/J8</f>
        <v>0.97353881517789231</v>
      </c>
    </row>
    <row r="11" spans="1:12" x14ac:dyDescent="0.25">
      <c r="A11" s="61"/>
      <c r="E11" t="s">
        <v>244</v>
      </c>
      <c r="F11" s="50">
        <f>'Cross-layer'!B3</f>
        <v>60</v>
      </c>
    </row>
    <row r="12" spans="1:12" x14ac:dyDescent="0.25">
      <c r="B12" s="87"/>
      <c r="E12" s="83"/>
      <c r="F12" s="83"/>
      <c r="G12" s="83"/>
      <c r="I12" s="61" t="s">
        <v>355</v>
      </c>
    </row>
    <row r="13" spans="1:12" x14ac:dyDescent="0.25">
      <c r="B13" s="83"/>
      <c r="E13" t="s">
        <v>361</v>
      </c>
      <c r="F13" s="68">
        <f>B5+273.15</f>
        <v>1123.1500000000001</v>
      </c>
      <c r="G13" t="s">
        <v>362</v>
      </c>
      <c r="I13" t="s">
        <v>356</v>
      </c>
      <c r="J13" s="15">
        <f>J7</f>
        <v>34.239004629629626</v>
      </c>
      <c r="K13" t="s">
        <v>342</v>
      </c>
    </row>
    <row r="14" spans="1:12" x14ac:dyDescent="0.25">
      <c r="B14" s="87"/>
      <c r="E14" t="s">
        <v>365</v>
      </c>
      <c r="F14" s="68">
        <f>INDEX(Tabel3[#Data],MATCH($F$13,Tabel3[T (K)]),4)</f>
        <v>-185.91200000000001</v>
      </c>
      <c r="G14" t="s">
        <v>366</v>
      </c>
      <c r="J14" s="15"/>
    </row>
    <row r="15" spans="1:12" x14ac:dyDescent="0.25">
      <c r="B15" s="83"/>
      <c r="E15" t="s">
        <v>369</v>
      </c>
      <c r="F15" s="68">
        <f>INDEX(Tabel3[#Data],MATCH($F$13,Tabel3[T (K)]),2)</f>
        <v>-248.49299999999999</v>
      </c>
      <c r="G15" t="s">
        <v>366</v>
      </c>
      <c r="I15" t="s">
        <v>357</v>
      </c>
      <c r="J15" s="69">
        <f>'Manufacturing results'!D2*F11</f>
        <v>555.35043786950803</v>
      </c>
      <c r="K15" t="s">
        <v>358</v>
      </c>
    </row>
    <row r="16" spans="1:12" x14ac:dyDescent="0.25">
      <c r="B16" s="86"/>
      <c r="E16" t="s">
        <v>370</v>
      </c>
      <c r="F16" s="70">
        <f>-F14*10^3/($F$4*$F$2)</f>
        <v>0.9634243664818366</v>
      </c>
      <c r="G16" t="s">
        <v>371</v>
      </c>
      <c r="I16" t="s">
        <v>359</v>
      </c>
      <c r="J16" s="19">
        <f>J15/J8</f>
        <v>112.30821684329699</v>
      </c>
      <c r="K16" t="s">
        <v>360</v>
      </c>
    </row>
    <row r="17" spans="2:11" x14ac:dyDescent="0.25">
      <c r="B17" s="83"/>
      <c r="E17" t="s">
        <v>372</v>
      </c>
      <c r="F17" s="70">
        <f>-F15*10^3/($F$4*$F$2)</f>
        <v>1.2877286624863968</v>
      </c>
      <c r="G17" t="s">
        <v>371</v>
      </c>
      <c r="I17" t="s">
        <v>363</v>
      </c>
      <c r="J17" s="57">
        <f>J3</f>
        <v>1.989946623827538E-2</v>
      </c>
      <c r="K17" t="s">
        <v>364</v>
      </c>
    </row>
    <row r="18" spans="2:11" x14ac:dyDescent="0.25">
      <c r="I18" t="s">
        <v>367</v>
      </c>
      <c r="J18" s="57">
        <f>J17*F6*3.6</f>
        <v>1.2905599834171115</v>
      </c>
      <c r="K18" t="s">
        <v>368</v>
      </c>
    </row>
    <row r="19" spans="2:11" x14ac:dyDescent="0.25">
      <c r="I19" t="s">
        <v>373</v>
      </c>
      <c r="J19" s="15">
        <f>(B9*100)/(B8*100)*1000</f>
        <v>19480.519480519481</v>
      </c>
      <c r="K19" t="s">
        <v>374</v>
      </c>
    </row>
    <row r="20" spans="2:11" x14ac:dyDescent="0.25">
      <c r="J20" s="15"/>
    </row>
    <row r="22" spans="2:11" x14ac:dyDescent="0.25">
      <c r="I22" s="61"/>
    </row>
    <row r="23" spans="2:11" x14ac:dyDescent="0.25">
      <c r="E23" s="61"/>
    </row>
    <row r="24" spans="2:11" x14ac:dyDescent="0.25">
      <c r="F24" s="85"/>
    </row>
    <row r="25" spans="2:11" x14ac:dyDescent="0.25">
      <c r="F25" s="85"/>
      <c r="J25" s="57"/>
    </row>
    <row r="26" spans="2:11" x14ac:dyDescent="0.25">
      <c r="F26" s="84"/>
      <c r="J26" s="18"/>
    </row>
    <row r="27" spans="2:11" x14ac:dyDescent="0.25">
      <c r="E27" s="15"/>
      <c r="F27" s="87"/>
      <c r="J27" s="18"/>
    </row>
    <row r="28" spans="2:11" x14ac:dyDescent="0.25">
      <c r="F28" s="85"/>
      <c r="G28" s="37"/>
      <c r="J28" s="18"/>
    </row>
    <row r="29" spans="2:11" x14ac:dyDescent="0.25">
      <c r="F29" s="84"/>
      <c r="G29" s="37"/>
      <c r="J29" s="18"/>
    </row>
    <row r="30" spans="2:11" x14ac:dyDescent="0.25">
      <c r="J30" s="15"/>
    </row>
    <row r="32" spans="2:11" x14ac:dyDescent="0.25">
      <c r="I32" s="61"/>
    </row>
    <row r="33" spans="10:10" x14ac:dyDescent="0.25">
      <c r="J33" s="15"/>
    </row>
    <row r="34" spans="10:10" x14ac:dyDescent="0.25">
      <c r="J34" s="15"/>
    </row>
    <row r="35" spans="10:10" x14ac:dyDescent="0.25">
      <c r="J35" s="15"/>
    </row>
    <row r="36" spans="10:10" x14ac:dyDescent="0.25">
      <c r="J36" s="71"/>
    </row>
    <row r="37" spans="10:10" x14ac:dyDescent="0.25">
      <c r="J37" s="71"/>
    </row>
    <row r="38" spans="10:10" x14ac:dyDescent="0.25">
      <c r="J3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DE13-35D3-467C-A481-9919BC8D3793}">
  <sheetPr>
    <tabColor theme="6"/>
  </sheetPr>
  <dimension ref="A1:D27"/>
  <sheetViews>
    <sheetView workbookViewId="0">
      <selection activeCell="D19" sqref="D19"/>
    </sheetView>
  </sheetViews>
  <sheetFormatPr defaultColWidth="8.85546875" defaultRowHeight="15" x14ac:dyDescent="0.25"/>
  <cols>
    <col min="1" max="1" width="30.28515625" bestFit="1" customWidth="1"/>
    <col min="2" max="2" width="10.7109375" bestFit="1" customWidth="1"/>
    <col min="4" max="4" width="12.1406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</row>
    <row r="3" spans="1:4" x14ac:dyDescent="0.25">
      <c r="A3" t="s">
        <v>5</v>
      </c>
      <c r="B3">
        <v>60</v>
      </c>
    </row>
    <row r="4" spans="1:4" x14ac:dyDescent="0.25">
      <c r="A4" t="s">
        <v>6</v>
      </c>
      <c r="B4">
        <v>10</v>
      </c>
      <c r="C4" t="s">
        <v>7</v>
      </c>
    </row>
    <row r="5" spans="1:4" x14ac:dyDescent="0.25">
      <c r="A5" t="s">
        <v>8</v>
      </c>
      <c r="B5">
        <v>8</v>
      </c>
      <c r="C5" t="s">
        <v>7</v>
      </c>
    </row>
    <row r="6" spans="1:4" x14ac:dyDescent="0.25">
      <c r="A6" t="s">
        <v>9</v>
      </c>
      <c r="B6">
        <v>1</v>
      </c>
      <c r="C6" t="s">
        <v>7</v>
      </c>
      <c r="D6" t="s">
        <v>10</v>
      </c>
    </row>
    <row r="7" spans="1:4" x14ac:dyDescent="0.25">
      <c r="A7" t="s">
        <v>11</v>
      </c>
      <c r="B7">
        <v>1.2</v>
      </c>
      <c r="C7" t="s">
        <v>7</v>
      </c>
      <c r="D7" t="s">
        <v>12</v>
      </c>
    </row>
    <row r="8" spans="1:4" x14ac:dyDescent="0.25">
      <c r="A8" s="1" t="s">
        <v>13</v>
      </c>
    </row>
    <row r="9" spans="1:4" x14ac:dyDescent="0.25">
      <c r="A9" t="s">
        <v>14</v>
      </c>
      <c r="B9">
        <v>300</v>
      </c>
      <c r="C9" t="s">
        <v>15</v>
      </c>
    </row>
    <row r="10" spans="1:4" x14ac:dyDescent="0.25">
      <c r="A10" t="s">
        <v>16</v>
      </c>
      <c r="B10">
        <v>600</v>
      </c>
      <c r="C10" t="s">
        <v>15</v>
      </c>
      <c r="D10" t="s">
        <v>17</v>
      </c>
    </row>
    <row r="11" spans="1:4" x14ac:dyDescent="0.25">
      <c r="A11" t="s">
        <v>18</v>
      </c>
      <c r="B11">
        <v>5000</v>
      </c>
      <c r="C11" t="s">
        <v>15</v>
      </c>
    </row>
    <row r="12" spans="1:4" x14ac:dyDescent="0.25">
      <c r="A12" t="s">
        <v>19</v>
      </c>
      <c r="B12" s="16">
        <f>IF(B18="Without",1,Calculations!B43)</f>
        <v>0.17616052899372722</v>
      </c>
      <c r="D12" t="s">
        <v>20</v>
      </c>
    </row>
    <row r="13" spans="1:4" x14ac:dyDescent="0.25">
      <c r="A13" t="s">
        <v>21</v>
      </c>
      <c r="B13" s="16">
        <f>IF(B18="Without",1,Calculations!B35)</f>
        <v>0.97172465628398774</v>
      </c>
      <c r="D13" t="s">
        <v>22</v>
      </c>
    </row>
    <row r="14" spans="1:4" x14ac:dyDescent="0.25">
      <c r="A14" t="s">
        <v>23</v>
      </c>
      <c r="B14" s="16">
        <v>0.08</v>
      </c>
      <c r="D14" t="s">
        <v>24</v>
      </c>
    </row>
    <row r="15" spans="1:4" x14ac:dyDescent="0.25">
      <c r="A15" t="s">
        <v>25</v>
      </c>
      <c r="B15" s="16">
        <v>0.28000000000000003</v>
      </c>
    </row>
    <row r="16" spans="1:4" x14ac:dyDescent="0.25">
      <c r="A16" s="1" t="s">
        <v>26</v>
      </c>
    </row>
    <row r="17" spans="1:4" x14ac:dyDescent="0.25">
      <c r="A17" t="s">
        <v>27</v>
      </c>
      <c r="B17" t="s">
        <v>28</v>
      </c>
    </row>
    <row r="18" spans="1:4" x14ac:dyDescent="0.25">
      <c r="A18" t="s">
        <v>29</v>
      </c>
      <c r="B18" t="s">
        <v>30</v>
      </c>
      <c r="D18" t="s">
        <v>31</v>
      </c>
    </row>
    <row r="19" spans="1:4" x14ac:dyDescent="0.25">
      <c r="A19" t="s">
        <v>376</v>
      </c>
      <c r="B19" s="18">
        <v>0.06</v>
      </c>
      <c r="D19" t="s">
        <v>377</v>
      </c>
    </row>
    <row r="21" spans="1:4" x14ac:dyDescent="0.25">
      <c r="A21" t="s">
        <v>32</v>
      </c>
    </row>
    <row r="22" spans="1:4" x14ac:dyDescent="0.25">
      <c r="A22" t="s">
        <v>6</v>
      </c>
      <c r="B22" s="3">
        <f>B4+B6+B7</f>
        <v>12.2</v>
      </c>
    </row>
    <row r="23" spans="1:4" x14ac:dyDescent="0.25">
      <c r="A23" t="s">
        <v>8</v>
      </c>
      <c r="B23" s="3">
        <f>B5+B6+B7</f>
        <v>10.199999999999999</v>
      </c>
    </row>
    <row r="24" spans="1:4" x14ac:dyDescent="0.25">
      <c r="A24" t="s">
        <v>33</v>
      </c>
      <c r="B24" s="19">
        <f>B4*B5</f>
        <v>80</v>
      </c>
    </row>
    <row r="25" spans="1:4" x14ac:dyDescent="0.25">
      <c r="A25" t="s">
        <v>34</v>
      </c>
      <c r="B25" s="19">
        <f>(B4+B6)*(B5+B6)</f>
        <v>99</v>
      </c>
    </row>
    <row r="26" spans="1:4" x14ac:dyDescent="0.25">
      <c r="A26" t="s">
        <v>35</v>
      </c>
      <c r="B26" s="19">
        <f>(B4+B6+B7)*(B5+B6+B7)</f>
        <v>124.43999999999998</v>
      </c>
    </row>
    <row r="27" spans="1:4" x14ac:dyDescent="0.25">
      <c r="A27" t="s">
        <v>36</v>
      </c>
      <c r="B27" s="11">
        <f>181/B3</f>
        <v>3.0166666666666666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C8F0-E28D-4072-B37B-6214F3485847}">
  <sheetPr>
    <tabColor theme="6"/>
  </sheetPr>
  <dimension ref="A1:J44"/>
  <sheetViews>
    <sheetView workbookViewId="0">
      <selection activeCell="F38" sqref="F38"/>
    </sheetView>
  </sheetViews>
  <sheetFormatPr defaultRowHeight="15" x14ac:dyDescent="0.25"/>
  <cols>
    <col min="1" max="1" width="39.7109375" bestFit="1" customWidth="1"/>
    <col min="2" max="2" width="12.5703125" bestFit="1" customWidth="1"/>
    <col min="3" max="3" width="9.7109375" bestFit="1" customWidth="1"/>
    <col min="6" max="6" width="24.85546875" customWidth="1"/>
    <col min="7" max="7" width="12.28515625" customWidth="1"/>
    <col min="8" max="8" width="13.42578125" customWidth="1"/>
    <col min="9" max="9" width="11.42578125" customWidth="1"/>
  </cols>
  <sheetData>
    <row r="1" spans="1:10" x14ac:dyDescent="0.25">
      <c r="A1" t="s">
        <v>37</v>
      </c>
      <c r="B1" s="22">
        <v>5000</v>
      </c>
      <c r="C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>
        <f>0.2/B1</f>
        <v>4.0000000000000003E-5</v>
      </c>
      <c r="F2" t="s">
        <v>45</v>
      </c>
      <c r="G2">
        <v>1</v>
      </c>
      <c r="H2">
        <v>7.5</v>
      </c>
      <c r="I2" s="15">
        <f>$B$12*Max_cycle_table[[#This Row],[Shifts/day]]*Max_cycle_table[[#This Row],[Hours/shift]]*$B$11</f>
        <v>1434.375</v>
      </c>
      <c r="J2" s="17">
        <f>ROUND(I2*60^2/$B$14,1)</f>
        <v>5.7</v>
      </c>
    </row>
    <row r="3" spans="1:10" x14ac:dyDescent="0.25">
      <c r="A3" t="s">
        <v>36</v>
      </c>
      <c r="B3" s="11">
        <f>'Cross-layer'!B27</f>
        <v>3.0166666666666666</v>
      </c>
      <c r="F3" t="s">
        <v>46</v>
      </c>
      <c r="G3">
        <v>3</v>
      </c>
      <c r="H3">
        <v>7.5</v>
      </c>
      <c r="I3" s="15">
        <f>$B$12*Max_cycle_table[[#This Row],[Shifts/day]]*Max_cycle_table[[#This Row],[Hours/shift]]*$B$11</f>
        <v>4303.125</v>
      </c>
      <c r="J3" s="17">
        <f>ROUND(I3*60^2/$B$14,1)</f>
        <v>17.100000000000001</v>
      </c>
    </row>
    <row r="4" spans="1:10" x14ac:dyDescent="0.25">
      <c r="A4" t="s">
        <v>5</v>
      </c>
      <c r="B4">
        <f>'Cross-layer'!B3</f>
        <v>60</v>
      </c>
      <c r="F4" t="s">
        <v>47</v>
      </c>
      <c r="G4">
        <v>3</v>
      </c>
      <c r="H4">
        <v>8</v>
      </c>
      <c r="I4" s="15">
        <f>$B$12*Max_cycle_table[[#This Row],[Shifts/day]]*Max_cycle_table[[#This Row],[Hours/shift]]*$B$11</f>
        <v>4590</v>
      </c>
      <c r="J4" s="17">
        <f>ROUND(I4*60^2/$B$14,1)</f>
        <v>18.3</v>
      </c>
    </row>
    <row r="5" spans="1:10" x14ac:dyDescent="0.25">
      <c r="A5" t="s">
        <v>48</v>
      </c>
      <c r="B5">
        <f>B3*B4</f>
        <v>181</v>
      </c>
      <c r="F5" t="s">
        <v>49</v>
      </c>
      <c r="G5">
        <v>1</v>
      </c>
      <c r="H5">
        <v>7.5</v>
      </c>
      <c r="I5" s="15">
        <f>$B$12*Max_cycle_table[[#This Row],[Shifts/day]]*Max_cycle_table[[#This Row],[Hours/shift]]*$B$11</f>
        <v>1434.375</v>
      </c>
      <c r="J5" s="37">
        <f>ROUND(I5*60^2/(B3*B1),1)</f>
        <v>342.3</v>
      </c>
    </row>
    <row r="6" spans="1:10" x14ac:dyDescent="0.25">
      <c r="A6" t="s">
        <v>50</v>
      </c>
      <c r="B6" s="22">
        <v>0.17</v>
      </c>
      <c r="C6" t="s">
        <v>51</v>
      </c>
    </row>
    <row r="7" spans="1:10" x14ac:dyDescent="0.25">
      <c r="A7" t="s">
        <v>52</v>
      </c>
      <c r="B7">
        <f>B6*B5</f>
        <v>30.770000000000003</v>
      </c>
      <c r="C7" t="s">
        <v>51</v>
      </c>
    </row>
    <row r="8" spans="1:10" x14ac:dyDescent="0.25">
      <c r="A8" s="9" t="s">
        <v>53</v>
      </c>
      <c r="B8" s="10">
        <f>B7/3600</f>
        <v>8.5472222222222234E-3</v>
      </c>
      <c r="C8" t="s">
        <v>54</v>
      </c>
    </row>
    <row r="9" spans="1:10" x14ac:dyDescent="0.25">
      <c r="A9" s="9" t="s">
        <v>55</v>
      </c>
      <c r="B9" s="19">
        <v>86480</v>
      </c>
      <c r="C9" t="s">
        <v>56</v>
      </c>
    </row>
    <row r="10" spans="1:10" x14ac:dyDescent="0.25">
      <c r="A10" s="9"/>
      <c r="B10" s="10"/>
    </row>
    <row r="11" spans="1:10" x14ac:dyDescent="0.25">
      <c r="A11" t="s">
        <v>57</v>
      </c>
      <c r="B11" s="23">
        <v>0.85</v>
      </c>
      <c r="C11" t="s">
        <v>58</v>
      </c>
    </row>
    <row r="12" spans="1:10" x14ac:dyDescent="0.25">
      <c r="A12" t="s">
        <v>59</v>
      </c>
      <c r="B12" s="22">
        <v>225</v>
      </c>
      <c r="C12" t="s">
        <v>60</v>
      </c>
    </row>
    <row r="14" spans="1:10" x14ac:dyDescent="0.25">
      <c r="A14" t="s">
        <v>61</v>
      </c>
      <c r="B14">
        <f>B1*B5</f>
        <v>905000</v>
      </c>
      <c r="C14" t="s">
        <v>62</v>
      </c>
    </row>
    <row r="16" spans="1:10" x14ac:dyDescent="0.25">
      <c r="A16" t="s">
        <v>63</v>
      </c>
      <c r="B16" s="18">
        <v>0.3</v>
      </c>
    </row>
    <row r="18" spans="1:3" x14ac:dyDescent="0.25">
      <c r="A18" t="s">
        <v>64</v>
      </c>
      <c r="B18" t="s">
        <v>65</v>
      </c>
    </row>
    <row r="19" spans="1:3" x14ac:dyDescent="0.25">
      <c r="A19" t="s">
        <v>34</v>
      </c>
      <c r="B19" s="5">
        <f>'Cross-layer'!B25*B27</f>
        <v>0.6470588235294118</v>
      </c>
      <c r="C19" s="11"/>
    </row>
    <row r="20" spans="1:3" x14ac:dyDescent="0.25">
      <c r="A20" t="s">
        <v>6</v>
      </c>
      <c r="B20" s="5">
        <f>B29*'Cross-layer'!B4</f>
        <v>0.625</v>
      </c>
      <c r="C20" s="11"/>
    </row>
    <row r="21" spans="1:3" x14ac:dyDescent="0.25">
      <c r="A21" t="s">
        <v>66</v>
      </c>
      <c r="B21" s="5">
        <f>B28*'Cross-layer'!B26</f>
        <v>0.5009661835748791</v>
      </c>
      <c r="C21" s="11"/>
    </row>
    <row r="22" spans="1:3" x14ac:dyDescent="0.25">
      <c r="A22" t="s">
        <v>67</v>
      </c>
      <c r="B22" s="5">
        <f>B26*B5</f>
        <v>0.99889624724061821</v>
      </c>
      <c r="C22" s="11"/>
    </row>
    <row r="24" spans="1:3" x14ac:dyDescent="0.25">
      <c r="A24" t="s">
        <v>68</v>
      </c>
    </row>
    <row r="26" spans="1:3" x14ac:dyDescent="0.25">
      <c r="A26" t="s">
        <v>69</v>
      </c>
      <c r="B26" s="11">
        <f>1/B44</f>
        <v>5.5187637969094927E-3</v>
      </c>
    </row>
    <row r="27" spans="1:3" x14ac:dyDescent="0.25">
      <c r="A27" t="s">
        <v>70</v>
      </c>
      <c r="B27" s="11">
        <f>1/B40</f>
        <v>6.5359477124183009E-3</v>
      </c>
    </row>
    <row r="28" spans="1:3" x14ac:dyDescent="0.25">
      <c r="A28" t="s">
        <v>71</v>
      </c>
      <c r="B28" s="11">
        <f>1/B41</f>
        <v>4.0257648953301124E-3</v>
      </c>
    </row>
    <row r="29" spans="1:3" x14ac:dyDescent="0.25">
      <c r="A29" t="s">
        <v>72</v>
      </c>
      <c r="B29" s="11">
        <f>1/B36</f>
        <v>6.25E-2</v>
      </c>
    </row>
    <row r="31" spans="1:3" ht="15.75" x14ac:dyDescent="0.25">
      <c r="A31" s="2" t="s">
        <v>73</v>
      </c>
    </row>
    <row r="33" spans="1:3" x14ac:dyDescent="0.25">
      <c r="A33" t="s">
        <v>74</v>
      </c>
    </row>
    <row r="34" spans="1:3" x14ac:dyDescent="0.25">
      <c r="A34" t="s">
        <v>75</v>
      </c>
      <c r="B34">
        <v>18</v>
      </c>
      <c r="C34" t="s">
        <v>7</v>
      </c>
    </row>
    <row r="35" spans="1:3" x14ac:dyDescent="0.25">
      <c r="A35" t="s">
        <v>76</v>
      </c>
      <c r="B35">
        <v>13.8</v>
      </c>
      <c r="C35" t="s">
        <v>7</v>
      </c>
    </row>
    <row r="36" spans="1:3" x14ac:dyDescent="0.25">
      <c r="A36" t="s">
        <v>77</v>
      </c>
      <c r="B36">
        <v>16</v>
      </c>
      <c r="C36" t="s">
        <v>7</v>
      </c>
    </row>
    <row r="37" spans="1:3" x14ac:dyDescent="0.25">
      <c r="A37" t="s">
        <v>78</v>
      </c>
      <c r="B37">
        <v>8</v>
      </c>
      <c r="C37" t="s">
        <v>7</v>
      </c>
    </row>
    <row r="38" spans="1:3" x14ac:dyDescent="0.25">
      <c r="A38" t="s">
        <v>79</v>
      </c>
      <c r="B38">
        <v>60</v>
      </c>
    </row>
    <row r="39" spans="1:3" x14ac:dyDescent="0.25">
      <c r="A39" t="s">
        <v>80</v>
      </c>
      <c r="B39">
        <f>B36*B37</f>
        <v>128</v>
      </c>
      <c r="C39" t="s">
        <v>81</v>
      </c>
    </row>
    <row r="40" spans="1:3" x14ac:dyDescent="0.25">
      <c r="A40" t="s">
        <v>82</v>
      </c>
      <c r="B40" s="14">
        <f>(B36+1)*(B37+1)</f>
        <v>153</v>
      </c>
    </row>
    <row r="41" spans="1:3" x14ac:dyDescent="0.25">
      <c r="A41" t="s">
        <v>35</v>
      </c>
      <c r="B41" s="15">
        <f>B34*B35</f>
        <v>248.4</v>
      </c>
      <c r="C41" t="s">
        <v>81</v>
      </c>
    </row>
    <row r="42" spans="1:3" x14ac:dyDescent="0.25">
      <c r="A42" t="s">
        <v>83</v>
      </c>
      <c r="B42" s="3">
        <f>B40/B39</f>
        <v>1.1953125</v>
      </c>
    </row>
    <row r="43" spans="1:3" x14ac:dyDescent="0.25">
      <c r="A43" t="s">
        <v>84</v>
      </c>
      <c r="B43" s="3">
        <f>1.2</f>
        <v>1.2</v>
      </c>
    </row>
    <row r="44" spans="1:3" x14ac:dyDescent="0.25">
      <c r="A44" t="s">
        <v>48</v>
      </c>
      <c r="B44" s="3">
        <f>B38*3.02</f>
        <v>181.2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C492-D5CB-4B3A-8CAC-097B6D1423E1}">
  <sheetPr>
    <tabColor theme="5"/>
  </sheetPr>
  <dimension ref="A1:O10"/>
  <sheetViews>
    <sheetView workbookViewId="0">
      <selection activeCell="B6" sqref="B6"/>
    </sheetView>
  </sheetViews>
  <sheetFormatPr defaultColWidth="8.85546875" defaultRowHeight="15" x14ac:dyDescent="0.25"/>
  <cols>
    <col min="1" max="1" width="16" bestFit="1" customWidth="1"/>
    <col min="2" max="2" width="11" customWidth="1"/>
    <col min="3" max="4" width="12.140625" customWidth="1"/>
    <col min="5" max="5" width="10.5703125" customWidth="1"/>
    <col min="6" max="6" width="17.42578125" customWidth="1"/>
    <col min="7" max="7" width="11.5703125" customWidth="1"/>
    <col min="8" max="8" width="14.42578125" customWidth="1"/>
    <col min="10" max="10" width="15.140625" customWidth="1"/>
    <col min="11" max="11" width="12.85546875" bestFit="1" customWidth="1"/>
    <col min="12" max="12" width="14.85546875" customWidth="1"/>
    <col min="13" max="13" width="15.140625" customWidth="1"/>
  </cols>
  <sheetData>
    <row r="1" spans="1:15" x14ac:dyDescent="0.25">
      <c r="C1" t="s">
        <v>85</v>
      </c>
      <c r="D1" t="s">
        <v>86</v>
      </c>
      <c r="E1" t="s">
        <v>58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O1" t="s">
        <v>93</v>
      </c>
    </row>
    <row r="2" spans="1:15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O2" t="s">
        <v>107</v>
      </c>
    </row>
    <row r="3" spans="1:15" x14ac:dyDescent="0.25">
      <c r="A3" t="s">
        <v>108</v>
      </c>
      <c r="B3" s="22" t="s">
        <v>109</v>
      </c>
      <c r="C3">
        <f>_xlfn.XLOOKUP(B3,Tabel2[Material],Tabel2[Cost],"Not found")</f>
        <v>55</v>
      </c>
      <c r="D3" s="22">
        <v>30</v>
      </c>
      <c r="E3" s="23">
        <v>0.3</v>
      </c>
      <c r="F3" s="23">
        <v>1</v>
      </c>
      <c r="G3" s="18">
        <f>F3*(1-E3)</f>
        <v>0.7</v>
      </c>
      <c r="H3">
        <f>_xlfn.XLOOKUP(B3,Tabel2[Material],Tabel2[Density],"Not found")</f>
        <v>6.3</v>
      </c>
      <c r="I3" s="11">
        <f>H3*G3*D3/1000</f>
        <v>0.13229999999999997</v>
      </c>
      <c r="J3" s="7">
        <f>I3*C3</f>
        <v>7.2764999999999986</v>
      </c>
      <c r="K3">
        <f>'Cross-layer'!$B$24</f>
        <v>80</v>
      </c>
      <c r="L3" s="4">
        <f>K3/100/100*J3/(1-'Cross-layer'!$B$19)</f>
        <v>6.192765957446808E-2</v>
      </c>
      <c r="M3" s="11">
        <f>K3/100/100*I3*1000</f>
        <v>1.0583999999999998</v>
      </c>
      <c r="O3" t="s">
        <v>110</v>
      </c>
    </row>
    <row r="4" spans="1:15" x14ac:dyDescent="0.25">
      <c r="A4" t="s">
        <v>111</v>
      </c>
      <c r="B4" s="22" t="s">
        <v>109</v>
      </c>
      <c r="C4">
        <f>_xlfn.XLOOKUP(B4,Tabel2[Material],Tabel2[Cost],"Not found")</f>
        <v>55</v>
      </c>
      <c r="D4" s="22">
        <v>30</v>
      </c>
      <c r="E4" s="23">
        <v>0.3</v>
      </c>
      <c r="F4" s="23">
        <v>1</v>
      </c>
      <c r="G4" s="18">
        <f t="shared" ref="G4:G9" si="0">F4*(1-E4)</f>
        <v>0.7</v>
      </c>
      <c r="H4">
        <f>_xlfn.XLOOKUP(B4,Tabel2[Material],Tabel2[Density],"Not found")</f>
        <v>6.3</v>
      </c>
      <c r="I4" s="11">
        <f t="shared" ref="I4:I9" si="1">H4*G4*D4/1000</f>
        <v>0.13229999999999997</v>
      </c>
      <c r="J4" s="7">
        <f t="shared" ref="J4:J9" si="2">I4*C4</f>
        <v>7.2764999999999986</v>
      </c>
      <c r="K4">
        <f>'Cross-layer'!$B$24</f>
        <v>80</v>
      </c>
      <c r="L4" s="4">
        <f>K4/100/100*J4/(1-'Cross-layer'!$B$19)</f>
        <v>6.192765957446808E-2</v>
      </c>
      <c r="M4" s="11">
        <f t="shared" ref="M4:M9" si="3">K4/100/100*I4*1000</f>
        <v>1.0583999999999998</v>
      </c>
      <c r="O4" t="s">
        <v>112</v>
      </c>
    </row>
    <row r="5" spans="1:15" x14ac:dyDescent="0.25">
      <c r="A5" t="s">
        <v>113</v>
      </c>
      <c r="B5" s="22" t="s">
        <v>114</v>
      </c>
      <c r="C5">
        <f>_xlfn.XLOOKUP(B5,Tabel2[Material],Tabel2[Cost],"Not found")</f>
        <v>260</v>
      </c>
      <c r="D5" s="22">
        <v>8</v>
      </c>
      <c r="E5" s="22">
        <v>0</v>
      </c>
      <c r="F5" s="23">
        <v>1</v>
      </c>
      <c r="G5" s="18">
        <f t="shared" si="0"/>
        <v>1</v>
      </c>
      <c r="H5">
        <f>_xlfn.XLOOKUP(B5,Tabel2[Material],Tabel2[Density],"Not found")</f>
        <v>7.2</v>
      </c>
      <c r="I5" s="11">
        <f t="shared" si="1"/>
        <v>5.7599999999999998E-2</v>
      </c>
      <c r="J5" s="7">
        <f t="shared" si="2"/>
        <v>14.975999999999999</v>
      </c>
      <c r="K5">
        <f>'Cross-layer'!$B$25</f>
        <v>99</v>
      </c>
      <c r="L5" s="4">
        <f>K5/100/100*J5/(1-'Cross-layer'!$B$19)</f>
        <v>0.15772595744680851</v>
      </c>
      <c r="M5" s="11">
        <f t="shared" si="3"/>
        <v>0.57023999999999997</v>
      </c>
    </row>
    <row r="6" spans="1:15" x14ac:dyDescent="0.25">
      <c r="A6" t="s">
        <v>115</v>
      </c>
      <c r="B6" s="22" t="s">
        <v>116</v>
      </c>
      <c r="C6">
        <f>_xlfn.XLOOKUP(B6,Tabel2[Material],Tabel2[Cost],"Not found")</f>
        <v>30</v>
      </c>
      <c r="D6" s="22">
        <v>80</v>
      </c>
      <c r="E6" s="22">
        <v>0</v>
      </c>
      <c r="F6" s="23">
        <v>1</v>
      </c>
      <c r="G6" s="18">
        <f t="shared" si="0"/>
        <v>1</v>
      </c>
      <c r="H6">
        <f>_xlfn.XLOOKUP(B6,Tabel2[Material],Tabel2[Density],"Not found")</f>
        <v>6.3</v>
      </c>
      <c r="I6" s="11">
        <f t="shared" si="1"/>
        <v>0.504</v>
      </c>
      <c r="J6" s="7">
        <f t="shared" si="2"/>
        <v>15.120000000000001</v>
      </c>
      <c r="K6">
        <f>'Cross-layer'!$B$25</f>
        <v>99</v>
      </c>
      <c r="L6" s="4">
        <f>K6/100/100*J6/(1-'Cross-layer'!$B$19)</f>
        <v>0.15924255319148936</v>
      </c>
      <c r="M6" s="11">
        <f t="shared" si="3"/>
        <v>4.9895999999999994</v>
      </c>
      <c r="O6" s="35" t="s">
        <v>117</v>
      </c>
    </row>
    <row r="7" spans="1:15" x14ac:dyDescent="0.25">
      <c r="A7" t="s">
        <v>118</v>
      </c>
      <c r="B7" s="22" t="s">
        <v>114</v>
      </c>
      <c r="C7">
        <f>_xlfn.XLOOKUP(B7,Tabel2[Material],Tabel2[Cost],"Not found")</f>
        <v>260</v>
      </c>
      <c r="D7" s="22">
        <v>20</v>
      </c>
      <c r="E7" s="23">
        <v>0.3</v>
      </c>
      <c r="F7" s="23">
        <v>0.5</v>
      </c>
      <c r="G7" s="18">
        <f t="shared" si="0"/>
        <v>0.35</v>
      </c>
      <c r="H7">
        <f>_xlfn.XLOOKUP(B7,Tabel2[Material],Tabel2[Density],"Not found")</f>
        <v>7.2</v>
      </c>
      <c r="I7" s="11">
        <f t="shared" si="1"/>
        <v>5.04E-2</v>
      </c>
      <c r="J7" s="7">
        <f t="shared" si="2"/>
        <v>13.103999999999999</v>
      </c>
      <c r="K7">
        <f>'Cross-layer'!$B$24</f>
        <v>80</v>
      </c>
      <c r="L7" s="4">
        <f>K7/100/100*J7/(1-'Cross-layer'!$B$19)</f>
        <v>0.11152340425531915</v>
      </c>
      <c r="M7" s="11">
        <f t="shared" si="3"/>
        <v>0.4032</v>
      </c>
    </row>
    <row r="8" spans="1:15" x14ac:dyDescent="0.25">
      <c r="B8" s="22" t="s">
        <v>119</v>
      </c>
      <c r="C8">
        <f>_xlfn.XLOOKUP(B8,Tabel2[Material],Tabel2[Cost],"Not found")</f>
        <v>29</v>
      </c>
      <c r="D8" s="22">
        <v>20</v>
      </c>
      <c r="E8" s="23">
        <v>0.3</v>
      </c>
      <c r="F8" s="23">
        <v>0.5</v>
      </c>
      <c r="G8" s="18">
        <f t="shared" si="0"/>
        <v>0.35</v>
      </c>
      <c r="H8">
        <f>_xlfn.XLOOKUP(B8,Tabel2[Material],Tabel2[Density],"Not found")</f>
        <v>6.7</v>
      </c>
      <c r="I8" s="11">
        <f t="shared" si="1"/>
        <v>4.689999999999999E-2</v>
      </c>
      <c r="J8" s="7">
        <f t="shared" si="2"/>
        <v>1.3600999999999996</v>
      </c>
      <c r="K8">
        <f>'Cross-layer'!$B$24</f>
        <v>80</v>
      </c>
      <c r="L8" s="4">
        <f>K8/100/100*J8/(1-'Cross-layer'!$B$19)</f>
        <v>1.1575319148936168E-2</v>
      </c>
      <c r="M8" s="11">
        <f t="shared" si="3"/>
        <v>0.37519999999999992</v>
      </c>
    </row>
    <row r="9" spans="1:15" x14ac:dyDescent="0.25">
      <c r="A9" t="s">
        <v>120</v>
      </c>
      <c r="B9" s="22" t="s">
        <v>119</v>
      </c>
      <c r="C9">
        <f>_xlfn.XLOOKUP(B9,Tabel2[Material],Tabel2[Cost],"Not found")</f>
        <v>29</v>
      </c>
      <c r="D9" s="22">
        <v>10</v>
      </c>
      <c r="E9" s="23">
        <v>0.3</v>
      </c>
      <c r="F9" s="23">
        <v>1</v>
      </c>
      <c r="G9" s="18">
        <f t="shared" si="0"/>
        <v>0.7</v>
      </c>
      <c r="H9">
        <f>_xlfn.XLOOKUP(B9,Tabel2[Material],Tabel2[Density],"Not found")</f>
        <v>6.7</v>
      </c>
      <c r="I9" s="11">
        <f t="shared" si="1"/>
        <v>4.689999999999999E-2</v>
      </c>
      <c r="J9" s="7">
        <f t="shared" si="2"/>
        <v>1.3600999999999996</v>
      </c>
      <c r="K9">
        <f>'Cross-layer'!$B$24</f>
        <v>80</v>
      </c>
      <c r="L9" s="4">
        <f>K9/100/100*J9/(1-'Cross-layer'!$B$19)</f>
        <v>1.1575319148936168E-2</v>
      </c>
      <c r="M9" s="11">
        <f t="shared" si="3"/>
        <v>0.37519999999999992</v>
      </c>
    </row>
    <row r="10" spans="1:15" x14ac:dyDescent="0.25">
      <c r="E10" s="18"/>
      <c r="F10" s="18"/>
      <c r="G10" s="18"/>
      <c r="I10" s="11"/>
      <c r="J10" s="7"/>
      <c r="L10" s="4"/>
      <c r="M10" s="11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74CC-44EC-4E77-86D4-16C87DB770B4}">
  <sheetPr>
    <tabColor theme="5"/>
  </sheetPr>
  <dimension ref="A1:S25"/>
  <sheetViews>
    <sheetView workbookViewId="0">
      <selection activeCell="A4" sqref="A4"/>
    </sheetView>
  </sheetViews>
  <sheetFormatPr defaultColWidth="8.85546875" defaultRowHeight="15" x14ac:dyDescent="0.25"/>
  <cols>
    <col min="1" max="1" width="19.42578125" bestFit="1" customWidth="1"/>
    <col min="2" max="2" width="13.85546875" bestFit="1" customWidth="1"/>
    <col min="3" max="3" width="16.5703125" customWidth="1"/>
    <col min="4" max="4" width="12" customWidth="1"/>
    <col min="5" max="5" width="12.140625" customWidth="1"/>
    <col min="6" max="6" width="10.5703125" customWidth="1"/>
    <col min="7" max="7" width="17.42578125" customWidth="1"/>
    <col min="8" max="8" width="11.5703125" customWidth="1"/>
    <col min="9" max="9" width="14.42578125" customWidth="1"/>
    <col min="11" max="11" width="15.140625" customWidth="1"/>
    <col min="13" max="13" width="14.85546875" customWidth="1"/>
    <col min="14" max="14" width="15.140625" customWidth="1"/>
    <col min="17" max="17" width="21.42578125" bestFit="1" customWidth="1"/>
  </cols>
  <sheetData>
    <row r="1" spans="1:19" x14ac:dyDescent="0.25">
      <c r="D1" t="s">
        <v>85</v>
      </c>
      <c r="E1" t="s">
        <v>86</v>
      </c>
      <c r="F1" t="s">
        <v>58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</row>
    <row r="2" spans="1:19" x14ac:dyDescent="0.25">
      <c r="A2" t="s">
        <v>94</v>
      </c>
      <c r="B2" t="s">
        <v>95</v>
      </c>
      <c r="C2" t="s">
        <v>121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Q2" t="s">
        <v>122</v>
      </c>
      <c r="R2">
        <f>1/'Cross-layer'!B3</f>
        <v>1.6666666666666666E-2</v>
      </c>
      <c r="S2" t="s">
        <v>123</v>
      </c>
    </row>
    <row r="3" spans="1:19" x14ac:dyDescent="0.25">
      <c r="A3" t="s">
        <v>124</v>
      </c>
      <c r="B3" t="str">
        <f>'Cross-layer'!$B$17</f>
        <v>Crofer22APU</v>
      </c>
      <c r="C3">
        <v>1</v>
      </c>
      <c r="D3">
        <f>_xlfn.XLOOKUP(B3,Tabel2[Material],Tabel2[Cost],"Not found")</f>
        <v>25</v>
      </c>
      <c r="E3" s="19">
        <f>'Cross-layer'!$B$9*C3</f>
        <v>300</v>
      </c>
      <c r="F3" s="18">
        <v>0</v>
      </c>
      <c r="G3" s="18">
        <f>'Cross-layer'!$B$13</f>
        <v>0.97172465628398774</v>
      </c>
      <c r="H3" s="18">
        <f>G3*(1-F3)</f>
        <v>0.97172465628398774</v>
      </c>
      <c r="I3">
        <f>_xlfn.XLOOKUP(B3,Tabel2[Material],Tabel2[Density],"Not found")</f>
        <v>7.8</v>
      </c>
      <c r="J3" s="11">
        <f>I3*E3/1000</f>
        <v>2.34</v>
      </c>
      <c r="K3" s="7">
        <f>J3*D3-(1-H3)*'Cross-layer'!$B$14*D3*J3</f>
        <v>58.367671391409061</v>
      </c>
      <c r="L3">
        <f>'Cross-layer'!$B$26</f>
        <v>124.43999999999998</v>
      </c>
      <c r="M3" s="4">
        <f>L3/100/100*K3</f>
        <v>0.72632730279469415</v>
      </c>
      <c r="N3" s="11">
        <f>L3/100/100*J3*1000</f>
        <v>29.118959999999991</v>
      </c>
    </row>
    <row r="4" spans="1:19" x14ac:dyDescent="0.25">
      <c r="A4" t="s">
        <v>125</v>
      </c>
      <c r="B4" t="str">
        <f>'Cross-layer'!$B$17</f>
        <v>Crofer22APU</v>
      </c>
      <c r="C4">
        <f>2*R2</f>
        <v>3.3333333333333333E-2</v>
      </c>
      <c r="D4">
        <f>_xlfn.XLOOKUP(B4,Tabel2[Material],Tabel2[Cost],"Not found")</f>
        <v>25</v>
      </c>
      <c r="E4" s="19">
        <f>'Cross-layer'!$B$9*C4</f>
        <v>10</v>
      </c>
      <c r="F4" s="18">
        <v>0</v>
      </c>
      <c r="G4" s="18">
        <f>'Cross-layer'!$B$13</f>
        <v>0.97172465628398774</v>
      </c>
      <c r="H4" s="18">
        <f>G4*(1-F4)</f>
        <v>0.97172465628398774</v>
      </c>
      <c r="I4">
        <f>_xlfn.XLOOKUP(B4,Tabel2[Material],Tabel2[Density],"Not found")</f>
        <v>7.8</v>
      </c>
      <c r="J4" s="11">
        <f>I4*E4/1000</f>
        <v>7.8E-2</v>
      </c>
      <c r="K4" s="7">
        <f>J4*D4-(1-H4)*'Cross-layer'!$B$14*D4*J4</f>
        <v>1.9455890463803021</v>
      </c>
      <c r="L4">
        <f>'Cross-layer'!$B$26</f>
        <v>124.43999999999998</v>
      </c>
      <c r="M4" s="4">
        <f t="shared" ref="M4:M9" si="0">L4/100/100*K4</f>
        <v>2.4210910093156471E-2</v>
      </c>
      <c r="N4" s="11">
        <f t="shared" ref="N4:N9" si="1">L4/100/100*J4*1000</f>
        <v>0.97063199999999972</v>
      </c>
      <c r="Q4" t="s">
        <v>126</v>
      </c>
    </row>
    <row r="5" spans="1:19" x14ac:dyDescent="0.25">
      <c r="A5" t="s">
        <v>127</v>
      </c>
      <c r="B5" t="str">
        <f>'Cross-layer'!$B$17</f>
        <v>Crofer22APU</v>
      </c>
      <c r="C5">
        <f>2*R2</f>
        <v>3.3333333333333333E-2</v>
      </c>
      <c r="D5">
        <f>_xlfn.XLOOKUP(B5,Tabel2[Material],Tabel2[Cost],"Not found")</f>
        <v>25</v>
      </c>
      <c r="E5" s="19">
        <f>'Cross-layer'!$B$10*C5</f>
        <v>20</v>
      </c>
      <c r="F5" s="18">
        <v>0</v>
      </c>
      <c r="G5" s="18">
        <f>'Cross-layer'!$B$13</f>
        <v>0.97172465628398774</v>
      </c>
      <c r="H5" s="18">
        <f t="shared" ref="H5:H9" si="2">G5*(1-F5)</f>
        <v>0.97172465628398774</v>
      </c>
      <c r="I5">
        <f>_xlfn.XLOOKUP(B5,Tabel2[Material],Tabel2[Density],"Not found")</f>
        <v>7.8</v>
      </c>
      <c r="J5" s="11">
        <f t="shared" ref="J5:J9" si="3">I5*E5/1000</f>
        <v>0.156</v>
      </c>
      <c r="K5" s="7">
        <f>J5*D5-(1-H5)*'Cross-layer'!$B$15*D5*J5</f>
        <v>3.8691233246621146</v>
      </c>
      <c r="L5">
        <f>'Cross-layer'!$B$26</f>
        <v>124.43999999999998</v>
      </c>
      <c r="M5" s="4">
        <f>L5/100/100*K5</f>
        <v>4.8147370652095345E-2</v>
      </c>
      <c r="N5" s="11">
        <f t="shared" si="1"/>
        <v>1.9412639999999994</v>
      </c>
    </row>
    <row r="6" spans="1:19" x14ac:dyDescent="0.25">
      <c r="A6" t="s">
        <v>128</v>
      </c>
      <c r="B6" t="str">
        <f>'Cross-layer'!$B$17</f>
        <v>Crofer22APU</v>
      </c>
      <c r="C6">
        <f>3*R2</f>
        <v>0.05</v>
      </c>
      <c r="D6">
        <f>_xlfn.XLOOKUP(B6,Tabel2[Material],Tabel2[Cost],"Not found")</f>
        <v>25</v>
      </c>
      <c r="E6" s="19">
        <f>'Cross-layer'!$B$10*C6</f>
        <v>30</v>
      </c>
      <c r="F6" s="18">
        <v>0</v>
      </c>
      <c r="G6" s="18">
        <f>'Cross-layer'!$B$12</f>
        <v>0.17616052899372722</v>
      </c>
      <c r="H6" s="18">
        <f t="shared" si="2"/>
        <v>0.17616052899372722</v>
      </c>
      <c r="I6">
        <f>_xlfn.XLOOKUP(B6,Tabel2[Material],Tabel2[Density],"Not found")</f>
        <v>7.8</v>
      </c>
      <c r="J6" s="11">
        <f t="shared" si="3"/>
        <v>0.23400000000000001</v>
      </c>
      <c r="K6" s="7">
        <f>J6*D6-(1-H6)*'Cross-layer'!$B$15*D6*J6</f>
        <v>4.5005509464917255</v>
      </c>
      <c r="L6">
        <f>'Cross-layer'!$B$26</f>
        <v>124.43999999999998</v>
      </c>
      <c r="M6" s="4">
        <f t="shared" si="0"/>
        <v>5.6004855978143017E-2</v>
      </c>
      <c r="N6" s="11">
        <f t="shared" si="1"/>
        <v>2.9118959999999992</v>
      </c>
    </row>
    <row r="7" spans="1:19" x14ac:dyDescent="0.25">
      <c r="A7" t="s">
        <v>129</v>
      </c>
      <c r="B7" t="str">
        <f>'Cross-layer'!$B$17</f>
        <v>Crofer22APU</v>
      </c>
      <c r="C7">
        <f>1</f>
        <v>1</v>
      </c>
      <c r="D7">
        <f>_xlfn.XLOOKUP(B7,Tabel2[Material],Tabel2[Cost],"Not found")</f>
        <v>25</v>
      </c>
      <c r="E7" s="19">
        <f>'Cross-layer'!$B$10</f>
        <v>600</v>
      </c>
      <c r="F7" s="18">
        <v>0</v>
      </c>
      <c r="G7" s="18">
        <f>'Cross-layer'!$B$12</f>
        <v>0.17616052899372722</v>
      </c>
      <c r="H7" s="18">
        <f t="shared" si="2"/>
        <v>0.17616052899372722</v>
      </c>
      <c r="I7">
        <f>_xlfn.XLOOKUP(B7,Tabel2[Material],Tabel2[Density],"Not found")</f>
        <v>7.8</v>
      </c>
      <c r="J7" s="11">
        <f t="shared" si="3"/>
        <v>4.68</v>
      </c>
      <c r="K7" s="7">
        <f>J7*D7-(1-H7)*'Cross-layer'!$B$15*D7*J7</f>
        <v>90.011018929834506</v>
      </c>
      <c r="L7">
        <f>'Cross-layer'!$B$26</f>
        <v>124.43999999999998</v>
      </c>
      <c r="M7" s="4">
        <f t="shared" si="0"/>
        <v>1.1200971195628604</v>
      </c>
      <c r="N7" s="11">
        <f t="shared" si="1"/>
        <v>58.237919999999981</v>
      </c>
    </row>
    <row r="8" spans="1:19" x14ac:dyDescent="0.25">
      <c r="A8" t="s">
        <v>130</v>
      </c>
      <c r="B8" t="str">
        <f>'Cross-layer'!$B$17</f>
        <v>Crofer22APU</v>
      </c>
      <c r="C8">
        <v>1</v>
      </c>
      <c r="D8">
        <f>_xlfn.XLOOKUP(B8,Tabel2[Material],Tabel2[Cost],"Not found")</f>
        <v>25</v>
      </c>
      <c r="E8" s="19">
        <f>'Cross-layer'!$B$10</f>
        <v>600</v>
      </c>
      <c r="F8" s="18">
        <v>0</v>
      </c>
      <c r="G8" s="18">
        <f>'Cross-layer'!$B$12</f>
        <v>0.17616052899372722</v>
      </c>
      <c r="H8" s="18">
        <f t="shared" si="2"/>
        <v>0.17616052899372722</v>
      </c>
      <c r="I8">
        <f>_xlfn.XLOOKUP(B8,Tabel2[Material],Tabel2[Density],"Not found")</f>
        <v>7.8</v>
      </c>
      <c r="J8" s="11">
        <f t="shared" si="3"/>
        <v>4.68</v>
      </c>
      <c r="K8" s="7">
        <f>J8*D8-(1-H8)*'Cross-layer'!$B$15*D8*J8</f>
        <v>90.011018929834506</v>
      </c>
      <c r="L8">
        <f>'Cross-layer'!$B$26</f>
        <v>124.43999999999998</v>
      </c>
      <c r="M8" s="4">
        <f t="shared" si="0"/>
        <v>1.1200971195628604</v>
      </c>
      <c r="N8" s="11">
        <f t="shared" si="1"/>
        <v>58.237919999999981</v>
      </c>
    </row>
    <row r="9" spans="1:19" x14ac:dyDescent="0.25">
      <c r="A9" t="s">
        <v>131</v>
      </c>
      <c r="B9" t="str">
        <f>'Cross-layer'!$B$17</f>
        <v>Crofer22APU</v>
      </c>
      <c r="C9">
        <f>2*R2</f>
        <v>3.3333333333333333E-2</v>
      </c>
      <c r="D9">
        <f>_xlfn.XLOOKUP(B9,Tabel2[Material],Tabel2[Cost],"Not found")</f>
        <v>25</v>
      </c>
      <c r="E9" s="19">
        <f>C9*'Cross-layer'!$B$11</f>
        <v>166.66666666666666</v>
      </c>
      <c r="F9" s="18">
        <v>0</v>
      </c>
      <c r="G9" s="18">
        <f>'Cross-layer'!$B$13</f>
        <v>0.97172465628398774</v>
      </c>
      <c r="H9" s="18">
        <f t="shared" si="2"/>
        <v>0.97172465628398774</v>
      </c>
      <c r="I9">
        <f>_xlfn.XLOOKUP(B9,Tabel2[Material],Tabel2[Density],"Not found")</f>
        <v>7.8</v>
      </c>
      <c r="J9" s="11">
        <f t="shared" si="3"/>
        <v>1.3</v>
      </c>
      <c r="K9" s="7">
        <f>J9*D9-(1-H9)*'Cross-layer'!$B$15*D9*J9</f>
        <v>32.242694372184289</v>
      </c>
      <c r="L9">
        <f>'Cross-layer'!$B$26</f>
        <v>124.43999999999998</v>
      </c>
      <c r="M9" s="4">
        <f t="shared" si="0"/>
        <v>0.40122808876746119</v>
      </c>
      <c r="N9" s="11">
        <f t="shared" si="1"/>
        <v>16.177199999999996</v>
      </c>
    </row>
    <row r="10" spans="1:19" x14ac:dyDescent="0.25">
      <c r="J10" s="11"/>
      <c r="K10" s="7"/>
    </row>
    <row r="25" spans="17:17" x14ac:dyDescent="0.25">
      <c r="Q25" t="s">
        <v>132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E5E8-DFCF-4B99-8261-8E12AE643ECD}">
  <sheetPr>
    <tabColor theme="5"/>
  </sheetPr>
  <dimension ref="A1:Q5"/>
  <sheetViews>
    <sheetView workbookViewId="0">
      <selection activeCell="A2" sqref="A2:M5"/>
    </sheetView>
  </sheetViews>
  <sheetFormatPr defaultColWidth="8.85546875" defaultRowHeight="15" x14ac:dyDescent="0.25"/>
  <cols>
    <col min="1" max="1" width="17.28515625" bestFit="1" customWidth="1"/>
    <col min="2" max="2" width="13.140625" bestFit="1" customWidth="1"/>
    <col min="3" max="3" width="12" customWidth="1"/>
    <col min="4" max="4" width="12.140625" customWidth="1"/>
    <col min="5" max="5" width="10.5703125" customWidth="1"/>
    <col min="6" max="6" width="17.42578125" customWidth="1"/>
    <col min="7" max="7" width="11.5703125" customWidth="1"/>
    <col min="8" max="8" width="14.42578125" customWidth="1"/>
    <col min="10" max="10" width="15.140625" customWidth="1"/>
    <col min="12" max="12" width="14.85546875" customWidth="1"/>
    <col min="13" max="13" width="15.140625" customWidth="1"/>
  </cols>
  <sheetData>
    <row r="1" spans="1:17" x14ac:dyDescent="0.25">
      <c r="C1" t="s">
        <v>85</v>
      </c>
      <c r="D1" t="s">
        <v>86</v>
      </c>
      <c r="E1" t="s">
        <v>58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Q1" t="s">
        <v>133</v>
      </c>
    </row>
    <row r="2" spans="1:17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Q2" t="s">
        <v>134</v>
      </c>
    </row>
    <row r="3" spans="1:17" x14ac:dyDescent="0.25">
      <c r="A3" t="s">
        <v>135</v>
      </c>
      <c r="B3" s="22" t="s">
        <v>135</v>
      </c>
      <c r="C3">
        <f>_xlfn.XLOOKUP(B3,Tabel2[Material],Tabel2[Cost],"Not found")</f>
        <v>37</v>
      </c>
      <c r="D3" s="22">
        <f>Calculations!B68</f>
        <v>700</v>
      </c>
      <c r="E3" s="23">
        <v>0</v>
      </c>
      <c r="F3" s="23">
        <v>1</v>
      </c>
      <c r="G3" s="18">
        <f>F3*(1-E3)</f>
        <v>1</v>
      </c>
      <c r="H3" s="17">
        <f>_xlfn.XLOOKUP(B3,Tabel2[Material],Tabel2[Density],"Not found")</f>
        <v>1.4405885563835883</v>
      </c>
      <c r="I3" s="11">
        <f>H3*G3*D3/1000</f>
        <v>1.0084119894685117</v>
      </c>
      <c r="J3" s="7">
        <f>I3*C3</f>
        <v>37.311243610334934</v>
      </c>
      <c r="K3" s="3">
        <f>Calculations!B70</f>
        <v>44.439999999999984</v>
      </c>
      <c r="L3" s="11">
        <f>J3*K3/100/100</f>
        <v>0.16581116660432837</v>
      </c>
      <c r="M3" s="11">
        <f>K3/100/100*I3*1000</f>
        <v>4.4813828811980638</v>
      </c>
      <c r="O3" s="5"/>
      <c r="Q3" t="s">
        <v>136</v>
      </c>
    </row>
    <row r="4" spans="1:17" x14ac:dyDescent="0.25">
      <c r="A4" t="s">
        <v>137</v>
      </c>
      <c r="B4" s="22" t="s">
        <v>138</v>
      </c>
      <c r="C4">
        <f>_xlfn.XLOOKUP(B4,Tabel2[Material],Tabel2[Cost],"Not found")</f>
        <v>250</v>
      </c>
      <c r="D4" s="22">
        <v>50</v>
      </c>
      <c r="E4" s="23">
        <v>0</v>
      </c>
      <c r="F4" s="23">
        <v>1</v>
      </c>
      <c r="G4" s="18">
        <f>F4*(1-E4)</f>
        <v>1</v>
      </c>
      <c r="H4" s="17">
        <f>_xlfn.XLOOKUP(B4,Tabel2[Material],Tabel2[Density],"Not found")</f>
        <v>4.9416381710888917</v>
      </c>
      <c r="I4" s="11">
        <f>H4*G4*D4/1000</f>
        <v>0.24708190855444459</v>
      </c>
      <c r="J4" s="7">
        <f>I4*C4</f>
        <v>61.770477138611149</v>
      </c>
      <c r="K4" s="3">
        <f>'Cross-layer'!B25</f>
        <v>99</v>
      </c>
      <c r="L4" s="11">
        <f>J4*K4/100/100</f>
        <v>0.61152772367225028</v>
      </c>
      <c r="M4" s="11">
        <f>K4/100/100*I4*1000</f>
        <v>2.4461108946890011</v>
      </c>
      <c r="O4" s="5"/>
      <c r="Q4" t="s">
        <v>139</v>
      </c>
    </row>
    <row r="5" spans="1:17" x14ac:dyDescent="0.25">
      <c r="A5" t="s">
        <v>140</v>
      </c>
      <c r="B5" s="22" t="s">
        <v>141</v>
      </c>
      <c r="C5">
        <f>Materials!I2</f>
        <v>27</v>
      </c>
      <c r="K5">
        <f>'Cross-layer'!B24</f>
        <v>80</v>
      </c>
      <c r="L5" s="11">
        <f>K5/100/100*C5</f>
        <v>0.216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F8D2-655C-4447-B790-EB920D6317C3}">
  <sheetPr>
    <tabColor theme="5"/>
  </sheetPr>
  <dimension ref="A1:W29"/>
  <sheetViews>
    <sheetView workbookViewId="0">
      <selection activeCell="F4" sqref="F4"/>
    </sheetView>
  </sheetViews>
  <sheetFormatPr defaultRowHeight="15" x14ac:dyDescent="0.25"/>
  <cols>
    <col min="1" max="1" width="37" bestFit="1" customWidth="1"/>
    <col min="2" max="2" width="23.85546875" bestFit="1" customWidth="1"/>
    <col min="3" max="3" width="11.7109375" bestFit="1" customWidth="1"/>
    <col min="5" max="5" width="21.85546875" bestFit="1" customWidth="1"/>
    <col min="13" max="13" width="11.7109375" bestFit="1" customWidth="1"/>
    <col min="15" max="15" width="10.7109375" bestFit="1" customWidth="1"/>
  </cols>
  <sheetData>
    <row r="1" spans="1:23" ht="15.75" thickBot="1" x14ac:dyDescent="0.3">
      <c r="A1" s="38" t="s">
        <v>142</v>
      </c>
      <c r="B1" s="38" t="s">
        <v>143</v>
      </c>
      <c r="C1" s="39" t="s">
        <v>144</v>
      </c>
      <c r="D1" s="38" t="s">
        <v>145</v>
      </c>
      <c r="E1" s="38" t="s">
        <v>146</v>
      </c>
      <c r="F1" s="38" t="s">
        <v>147</v>
      </c>
      <c r="G1" s="38" t="s">
        <v>148</v>
      </c>
      <c r="H1" s="38" t="s">
        <v>149</v>
      </c>
      <c r="I1" s="38" t="s">
        <v>150</v>
      </c>
      <c r="J1" s="38" t="s">
        <v>151</v>
      </c>
      <c r="K1" s="38" t="s">
        <v>152</v>
      </c>
      <c r="L1" s="38" t="s">
        <v>153</v>
      </c>
      <c r="M1" s="38" t="s">
        <v>154</v>
      </c>
      <c r="N1" s="38" t="s">
        <v>155</v>
      </c>
      <c r="O1" s="38" t="s">
        <v>156</v>
      </c>
      <c r="P1" s="40" t="s">
        <v>157</v>
      </c>
      <c r="Q1" s="38" t="s">
        <v>158</v>
      </c>
      <c r="R1" s="41" t="s">
        <v>159</v>
      </c>
      <c r="S1" s="41" t="s">
        <v>160</v>
      </c>
      <c r="T1" s="41" t="s">
        <v>161</v>
      </c>
      <c r="U1" s="42" t="s">
        <v>162</v>
      </c>
      <c r="V1" s="42" t="s">
        <v>163</v>
      </c>
      <c r="W1" s="42" t="s">
        <v>164</v>
      </c>
    </row>
    <row r="2" spans="1:23" x14ac:dyDescent="0.25">
      <c r="A2" t="s">
        <v>165</v>
      </c>
      <c r="B2" t="s">
        <v>166</v>
      </c>
      <c r="C2" t="s">
        <v>6</v>
      </c>
      <c r="D2">
        <v>2</v>
      </c>
      <c r="E2" s="43">
        <v>84000</v>
      </c>
      <c r="F2">
        <v>14</v>
      </c>
      <c r="G2">
        <v>5</v>
      </c>
      <c r="H2" s="35">
        <v>0.2</v>
      </c>
      <c r="I2">
        <v>1</v>
      </c>
      <c r="J2">
        <v>7.5</v>
      </c>
      <c r="K2" s="11" cm="1">
        <f t="array" ref="K2">IFERROR(INDEX(Max_cycle_table[Takt time],MATCH(1, (Max_cycle_table[Shifts/day]=I2) * (Max_cycle_table[Hours/shift]=J2), 0)),0)</f>
        <v>5.7</v>
      </c>
      <c r="L2">
        <f t="shared" ref="L2:L25" si="0">IFERROR(IF(G2&gt;K2,D2*ROUNDUP(G2/K2,0),D2),D2)</f>
        <v>2</v>
      </c>
      <c r="M2" s="11">
        <f>IFERROR((G2/K2)*H2*L2*I2,0)</f>
        <v>0.35087719298245612</v>
      </c>
      <c r="N2" s="7">
        <f>VLOOKUP(C2,Scale_table[#All],2,FALSE)</f>
        <v>0.625</v>
      </c>
      <c r="O2" s="37">
        <f>E2*L2*('Manufacturing inputs'!$B$16+(1-'Manufacturing inputs'!$B$16)*N2)</f>
        <v>123900.00000000001</v>
      </c>
      <c r="P2" s="3">
        <f t="shared" ref="P2:P29" si="1">F2*L2*N2</f>
        <v>17.5</v>
      </c>
      <c r="Q2">
        <f t="shared" ref="Q2:Q28" si="2">P2*G2</f>
        <v>87.5</v>
      </c>
      <c r="R2" s="44">
        <f>O2*'Manufacturing inputs'!$B$2</f>
        <v>4.9560000000000013</v>
      </c>
      <c r="S2" s="44">
        <f>(M2*'Manufacturing inputs'!$B$9)/'Manufacturing inputs'!$B$1</f>
        <v>6.0687719298245613</v>
      </c>
      <c r="T2" s="44">
        <f>Q2*'Manufacturing inputs'!$B$8</f>
        <v>0.74788194444444456</v>
      </c>
      <c r="U2" s="45">
        <f>R2/'Manufacturing inputs'!$B$5</f>
        <v>2.7381215469613265E-2</v>
      </c>
      <c r="V2" s="45">
        <f>S2/'Manufacturing inputs'!$B$5</f>
        <v>3.3529126684113598E-2</v>
      </c>
      <c r="W2" s="45">
        <f>T2/'Manufacturing inputs'!$B$5</f>
        <v>4.131944444444445E-3</v>
      </c>
    </row>
    <row r="3" spans="1:23" x14ac:dyDescent="0.25">
      <c r="A3" t="s">
        <v>167</v>
      </c>
      <c r="B3" t="s">
        <v>166</v>
      </c>
      <c r="C3" t="s">
        <v>66</v>
      </c>
      <c r="D3">
        <v>2</v>
      </c>
      <c r="E3" s="43">
        <v>100000</v>
      </c>
      <c r="F3">
        <v>32</v>
      </c>
      <c r="G3">
        <v>5</v>
      </c>
      <c r="H3" s="35">
        <v>0.2</v>
      </c>
      <c r="I3">
        <v>1</v>
      </c>
      <c r="J3">
        <v>7.5</v>
      </c>
      <c r="K3" s="11" cm="1">
        <f t="array" ref="K3">IFERROR(INDEX(Max_cycle_table[Takt time],MATCH(1, (Max_cycle_table[Shifts/day]=I3) * (Max_cycle_table[Hours/shift]=J3), 0)),0)</f>
        <v>5.7</v>
      </c>
      <c r="L3">
        <f t="shared" si="0"/>
        <v>2</v>
      </c>
      <c r="M3" s="11">
        <f>IFERROR((G3/K3)*H3*L3*I3,0)</f>
        <v>0.35087719298245612</v>
      </c>
      <c r="N3" s="7">
        <f>VLOOKUP(C3,Scale_table[#All],2,FALSE)</f>
        <v>0.5009661835748791</v>
      </c>
      <c r="O3" s="37">
        <f>E3*L3*('Manufacturing inputs'!$B$16+(1-'Manufacturing inputs'!$B$16)*N3)</f>
        <v>130135.26570048305</v>
      </c>
      <c r="P3" s="3">
        <f t="shared" si="1"/>
        <v>32.061835748792262</v>
      </c>
      <c r="Q3">
        <f t="shared" si="2"/>
        <v>160.3091787439613</v>
      </c>
      <c r="R3" s="44">
        <f>O3*'Manufacturing inputs'!$B$2</f>
        <v>5.2054106280193224</v>
      </c>
      <c r="S3" s="44">
        <f>(M3*'Manufacturing inputs'!$B$9)/'Manufacturing inputs'!$B$1</f>
        <v>6.0687719298245613</v>
      </c>
      <c r="T3" s="44">
        <f>Q3*'Manufacturing inputs'!$B$8</f>
        <v>1.3701981749865806</v>
      </c>
      <c r="U3" s="45">
        <f>R3/'Manufacturing inputs'!$B$5</f>
        <v>2.8759174740438244E-2</v>
      </c>
      <c r="V3" s="45">
        <f>S3/'Manufacturing inputs'!$B$5</f>
        <v>3.3529126684113598E-2</v>
      </c>
      <c r="W3" s="45">
        <f>T3/'Manufacturing inputs'!$B$5</f>
        <v>7.570155662909285E-3</v>
      </c>
    </row>
    <row r="4" spans="1:23" x14ac:dyDescent="0.25">
      <c r="A4" t="s">
        <v>168</v>
      </c>
      <c r="B4" t="s">
        <v>166</v>
      </c>
      <c r="C4" t="s">
        <v>67</v>
      </c>
      <c r="D4">
        <v>2</v>
      </c>
      <c r="E4" s="43">
        <v>140000</v>
      </c>
      <c r="F4">
        <v>2</v>
      </c>
      <c r="G4">
        <v>5</v>
      </c>
      <c r="H4" s="35">
        <v>0</v>
      </c>
      <c r="I4">
        <v>0</v>
      </c>
      <c r="K4" s="11" cm="1">
        <f t="array" ref="K4">IFERROR(INDEX(Max_cycle_table[Takt time],MATCH(1, (Max_cycle_table[Shifts/day]=I4) * (Max_cycle_table[Hours/shift]=J4), 0)),0)</f>
        <v>0</v>
      </c>
      <c r="L4">
        <f t="shared" si="0"/>
        <v>2</v>
      </c>
      <c r="M4" s="11">
        <f>IFERROR((G4/K4)*H4*L4*I4,0)</f>
        <v>0</v>
      </c>
      <c r="N4" s="7">
        <f>VLOOKUP(C4,Scale_table[#All],2,FALSE)</f>
        <v>0.99889624724061821</v>
      </c>
      <c r="O4" s="37">
        <f>E4*L4*('Manufacturing inputs'!$B$16+(1-'Manufacturing inputs'!$B$16)*N4)</f>
        <v>279783.66445916117</v>
      </c>
      <c r="P4" s="3">
        <f t="shared" si="1"/>
        <v>3.9955849889624728</v>
      </c>
      <c r="Q4">
        <f t="shared" si="2"/>
        <v>19.977924944812365</v>
      </c>
      <c r="R4" s="44">
        <f>O4*'Manufacturing inputs'!$B$2</f>
        <v>11.191346578366447</v>
      </c>
      <c r="S4" s="44">
        <f>(M4*'Manufacturing inputs'!$B$9)/'Manufacturing inputs'!$B$1</f>
        <v>0</v>
      </c>
      <c r="T4" s="44">
        <f>Q4*'Manufacturing inputs'!$B$8</f>
        <v>0.17075576404218792</v>
      </c>
      <c r="U4" s="45">
        <f>R4/'Manufacturing inputs'!$B$5</f>
        <v>6.1830644079372638E-2</v>
      </c>
      <c r="V4" s="45">
        <f>S4/'Manufacturing inputs'!$B$5</f>
        <v>0</v>
      </c>
      <c r="W4" s="45">
        <f>T4/'Manufacturing inputs'!$B$5</f>
        <v>9.4340201128280626E-4</v>
      </c>
    </row>
    <row r="5" spans="1:23" x14ac:dyDescent="0.25">
      <c r="A5" t="s">
        <v>169</v>
      </c>
      <c r="B5" t="s">
        <v>166</v>
      </c>
      <c r="C5" t="s">
        <v>66</v>
      </c>
      <c r="D5">
        <v>1</v>
      </c>
      <c r="E5" s="46">
        <v>145000</v>
      </c>
      <c r="F5">
        <v>12.5</v>
      </c>
      <c r="G5">
        <v>3</v>
      </c>
      <c r="H5" s="35">
        <v>0.2</v>
      </c>
      <c r="I5">
        <v>1</v>
      </c>
      <c r="J5">
        <v>7.5</v>
      </c>
      <c r="K5" s="11" cm="1">
        <f t="array" ref="K5">IFERROR(INDEX(Max_cycle_table[Takt time],MATCH(1, (Max_cycle_table[Shifts/day]=I5) * (Max_cycle_table[Hours/shift]=J5), 0)),0)</f>
        <v>5.7</v>
      </c>
      <c r="L5">
        <f t="shared" si="0"/>
        <v>1</v>
      </c>
      <c r="M5" s="11">
        <f>IFERROR((G5/K5)*H5*L5*I5,0)</f>
        <v>0.10526315789473684</v>
      </c>
      <c r="N5" s="7">
        <f>VLOOKUP(C5,Scale_table[#All],2,FALSE)</f>
        <v>0.5009661835748791</v>
      </c>
      <c r="O5" s="37">
        <f>E5*L5*('Manufacturing inputs'!$B$16+(1-'Manufacturing inputs'!$B$16)*N5)</f>
        <v>94348.067632850216</v>
      </c>
      <c r="P5" s="3">
        <f t="shared" si="1"/>
        <v>6.2620772946859891</v>
      </c>
      <c r="Q5">
        <f t="shared" si="2"/>
        <v>18.786231884057969</v>
      </c>
      <c r="R5" s="44">
        <f>O5*'Manufacturing inputs'!$B$2</f>
        <v>3.7739227053140088</v>
      </c>
      <c r="S5" s="44">
        <f>(M5*'Manufacturing inputs'!$B$9)/'Manufacturing inputs'!$B$1</f>
        <v>1.8206315789473684</v>
      </c>
      <c r="T5" s="44">
        <f>Q5*'Manufacturing inputs'!$B$8</f>
        <v>0.16057009863123994</v>
      </c>
      <c r="U5" s="45">
        <f>R5/'Manufacturing inputs'!$B$5</f>
        <v>2.0850401686817729E-2</v>
      </c>
      <c r="V5" s="45">
        <f>S5/'Manufacturing inputs'!$B$5</f>
        <v>1.005873800523408E-2</v>
      </c>
      <c r="W5" s="45">
        <f>T5/'Manufacturing inputs'!$B$5</f>
        <v>8.87127616747182E-4</v>
      </c>
    </row>
    <row r="6" spans="1:23" x14ac:dyDescent="0.25">
      <c r="A6" t="s">
        <v>170</v>
      </c>
      <c r="B6" t="s">
        <v>166</v>
      </c>
      <c r="C6" t="s">
        <v>66</v>
      </c>
      <c r="D6">
        <v>2</v>
      </c>
      <c r="E6" s="43">
        <f>240000/2</f>
        <v>120000</v>
      </c>
      <c r="F6">
        <v>21</v>
      </c>
      <c r="G6">
        <v>5.7</v>
      </c>
      <c r="H6" s="35">
        <v>0.2</v>
      </c>
      <c r="I6">
        <v>1</v>
      </c>
      <c r="J6">
        <v>7.5</v>
      </c>
      <c r="K6" s="11" cm="1">
        <f t="array" ref="K6">IFERROR(INDEX(Max_cycle_table[Takt time],MATCH(1, (Max_cycle_table[Shifts/day]=I6) * (Max_cycle_table[Hours/shift]=J6), 0)),0)</f>
        <v>5.7</v>
      </c>
      <c r="L6">
        <f t="shared" si="0"/>
        <v>2</v>
      </c>
      <c r="M6" s="11">
        <f>IFERROR((G6/K6)*H6*L6*I6,0)</f>
        <v>0.4</v>
      </c>
      <c r="N6" s="7">
        <f>VLOOKUP(C6,Scale_table[#All],2,FALSE)</f>
        <v>0.5009661835748791</v>
      </c>
      <c r="O6" s="37">
        <f>E6*L6*('Manufacturing inputs'!$B$16+(1-'Manufacturing inputs'!$B$16)*N6)</f>
        <v>156162.31884057968</v>
      </c>
      <c r="P6" s="3">
        <f t="shared" si="1"/>
        <v>21.040579710144922</v>
      </c>
      <c r="Q6">
        <f t="shared" si="2"/>
        <v>119.93130434782606</v>
      </c>
      <c r="R6" s="44">
        <f>O6*'Manufacturing inputs'!$B$2</f>
        <v>6.2464927536231878</v>
      </c>
      <c r="S6" s="44">
        <f>(M6*'Manufacturing inputs'!$B$9)/'Manufacturing inputs'!$B$1</f>
        <v>6.9184000000000001</v>
      </c>
      <c r="T6" s="44">
        <f>Q6*'Manufacturing inputs'!$B$8</f>
        <v>1.0250795096618357</v>
      </c>
      <c r="U6" s="45">
        <f>R6/'Manufacturing inputs'!$B$5</f>
        <v>3.4511009688525898E-2</v>
      </c>
      <c r="V6" s="45">
        <f>S6/'Manufacturing inputs'!$B$5</f>
        <v>3.8223204419889502E-2</v>
      </c>
      <c r="W6" s="45">
        <f>T6/'Manufacturing inputs'!$B$5</f>
        <v>5.663422705314009E-3</v>
      </c>
    </row>
    <row r="7" spans="1:23" x14ac:dyDescent="0.25">
      <c r="A7" t="s">
        <v>171</v>
      </c>
      <c r="B7" t="s">
        <v>166</v>
      </c>
      <c r="C7" t="s">
        <v>66</v>
      </c>
      <c r="D7">
        <v>1</v>
      </c>
      <c r="E7" s="43">
        <v>41400</v>
      </c>
      <c r="F7">
        <v>4</v>
      </c>
      <c r="G7">
        <v>18.3</v>
      </c>
      <c r="H7" s="35">
        <v>1</v>
      </c>
      <c r="I7">
        <v>0</v>
      </c>
      <c r="K7" s="11" cm="1">
        <f t="array" ref="K7">IFERROR(INDEX(Max_cycle_table[Takt time],MATCH(1, (Max_cycle_table[Shifts/day]=I7) * (Max_cycle_table[Hours/shift]=J7), 0)),0)</f>
        <v>0</v>
      </c>
      <c r="L7">
        <f t="shared" si="0"/>
        <v>1</v>
      </c>
      <c r="M7" s="11">
        <f>1/7.5*1/2*L7</f>
        <v>6.6666666666666666E-2</v>
      </c>
      <c r="N7" s="7">
        <f>VLOOKUP(C7,Scale_table[#All],2,FALSE)</f>
        <v>0.5009661835748791</v>
      </c>
      <c r="O7" s="37">
        <f>E7*L7*('Manufacturing inputs'!$B$16+(1-'Manufacturing inputs'!$B$16)*N7)</f>
        <v>26937.999999999993</v>
      </c>
      <c r="P7" s="3">
        <f t="shared" si="1"/>
        <v>2.0038647342995164</v>
      </c>
      <c r="Q7">
        <f t="shared" si="2"/>
        <v>36.670724637681154</v>
      </c>
      <c r="R7" s="44">
        <f>O7*'Manufacturing inputs'!$B$2</f>
        <v>1.0775199999999998</v>
      </c>
      <c r="S7" s="44">
        <f>(M7*'Manufacturing inputs'!$B$9)/'Manufacturing inputs'!$B$1</f>
        <v>1.1530666666666667</v>
      </c>
      <c r="T7" s="44">
        <f>Q7*'Manufacturing inputs'!$B$8</f>
        <v>0.31343283252818033</v>
      </c>
      <c r="U7" s="45">
        <f>R7/'Manufacturing inputs'!$B$5</f>
        <v>5.9531491712707168E-3</v>
      </c>
      <c r="V7" s="45">
        <f>S7/'Manufacturing inputs'!$B$5</f>
        <v>6.3705340699815836E-3</v>
      </c>
      <c r="W7" s="45">
        <f>T7/'Manufacturing inputs'!$B$5</f>
        <v>1.731673107890499E-3</v>
      </c>
    </row>
    <row r="8" spans="1:23" x14ac:dyDescent="0.25">
      <c r="A8" t="s">
        <v>172</v>
      </c>
      <c r="B8" t="s">
        <v>166</v>
      </c>
      <c r="C8" t="s">
        <v>66</v>
      </c>
      <c r="D8">
        <v>1</v>
      </c>
      <c r="E8" s="43">
        <v>1660000</v>
      </c>
      <c r="F8">
        <v>660</v>
      </c>
      <c r="G8">
        <v>4.8</v>
      </c>
      <c r="H8" s="35">
        <v>0.2</v>
      </c>
      <c r="I8">
        <v>1</v>
      </c>
      <c r="J8">
        <v>7.5</v>
      </c>
      <c r="K8" s="11" cm="1">
        <f t="array" ref="K8">IFERROR(INDEX(Max_cycle_table[Takt time],MATCH(1, (Max_cycle_table[Shifts/day]=I8) * (Max_cycle_table[Hours/shift]=J8), 0)),0)</f>
        <v>5.7</v>
      </c>
      <c r="L8">
        <f t="shared" si="0"/>
        <v>1</v>
      </c>
      <c r="M8" s="11">
        <f>IFERROR((G8/K8)*H8*L8*I8,0)</f>
        <v>0.16842105263157894</v>
      </c>
      <c r="N8" s="7">
        <f>VLOOKUP(C8,Scale_table[#All],2,FALSE)</f>
        <v>0.5009661835748791</v>
      </c>
      <c r="O8" s="37">
        <f>E8*L8*('Manufacturing inputs'!$B$16+(1-'Manufacturing inputs'!$B$16)*N8)</f>
        <v>1080122.7053140095</v>
      </c>
      <c r="P8" s="3">
        <f t="shared" si="1"/>
        <v>330.6376811594202</v>
      </c>
      <c r="Q8">
        <f t="shared" si="2"/>
        <v>1587.060869565217</v>
      </c>
      <c r="R8" s="44">
        <f>O8*'Manufacturing inputs'!$B$2</f>
        <v>43.204908212560383</v>
      </c>
      <c r="S8" s="44">
        <f>(M8*'Manufacturing inputs'!$B$9)/'Manufacturing inputs'!$B$1</f>
        <v>2.9130105263157895</v>
      </c>
      <c r="T8" s="44">
        <f>Q8*'Manufacturing inputs'!$B$8</f>
        <v>13.564961932367149</v>
      </c>
      <c r="U8" s="45">
        <f>R8/'Manufacturing inputs'!$B$5</f>
        <v>0.23870115034563746</v>
      </c>
      <c r="V8" s="45">
        <f>S8/'Manufacturing inputs'!$B$5</f>
        <v>1.6093980808374528E-2</v>
      </c>
      <c r="W8" s="45">
        <f>T8/'Manufacturing inputs'!$B$5</f>
        <v>7.4944541062801934E-2</v>
      </c>
    </row>
    <row r="9" spans="1:23" x14ac:dyDescent="0.25">
      <c r="A9" t="s">
        <v>173</v>
      </c>
      <c r="B9" t="s">
        <v>166</v>
      </c>
      <c r="C9" t="s">
        <v>66</v>
      </c>
      <c r="D9">
        <v>1</v>
      </c>
      <c r="E9" s="46">
        <v>1020000</v>
      </c>
      <c r="F9">
        <v>69</v>
      </c>
      <c r="G9">
        <v>12.3</v>
      </c>
      <c r="H9" s="35">
        <v>0.2</v>
      </c>
      <c r="I9">
        <v>3</v>
      </c>
      <c r="J9">
        <v>8</v>
      </c>
      <c r="K9" s="11" cm="1">
        <f t="array" ref="K9">IFERROR(INDEX(Max_cycle_table[Takt time],MATCH(1, (Max_cycle_table[Shifts/day]=I9) * (Max_cycle_table[Hours/shift]=J9), 0)),0)</f>
        <v>18.3</v>
      </c>
      <c r="L9">
        <f t="shared" si="0"/>
        <v>1</v>
      </c>
      <c r="M9" s="11">
        <f>IFERROR((G9/K9)*H9*L9,0)</f>
        <v>0.13442622950819672</v>
      </c>
      <c r="N9" s="7">
        <f>VLOOKUP(C9,Scale_table[#All],2,FALSE)</f>
        <v>0.5009661835748791</v>
      </c>
      <c r="O9" s="37">
        <f>E9*L9*('Manufacturing inputs'!$B$16+(1-'Manufacturing inputs'!$B$16)*N9)</f>
        <v>663689.85507246363</v>
      </c>
      <c r="P9" s="3">
        <f t="shared" si="1"/>
        <v>34.566666666666656</v>
      </c>
      <c r="Q9">
        <f t="shared" si="2"/>
        <v>425.1699999999999</v>
      </c>
      <c r="R9" s="44">
        <f>O9*'Manufacturing inputs'!$B$2</f>
        <v>26.547594202898548</v>
      </c>
      <c r="S9" s="44">
        <f>(M9*'Manufacturing inputs'!$B$9)/'Manufacturing inputs'!$B$1</f>
        <v>2.3250360655737703</v>
      </c>
      <c r="T9" s="44">
        <f>Q9*'Manufacturing inputs'!$B$8</f>
        <v>3.6340224722222221</v>
      </c>
      <c r="U9" s="45">
        <f>R9/'Manufacturing inputs'!$B$5</f>
        <v>0.14667179117623508</v>
      </c>
      <c r="V9" s="45">
        <f>S9/'Manufacturing inputs'!$B$5</f>
        <v>1.2845503124716964E-2</v>
      </c>
      <c r="W9" s="45">
        <f>T9/'Manufacturing inputs'!$B$5</f>
        <v>2.0077472222222222E-2</v>
      </c>
    </row>
    <row r="10" spans="1:23" x14ac:dyDescent="0.25">
      <c r="A10" t="s">
        <v>174</v>
      </c>
      <c r="B10" t="s">
        <v>166</v>
      </c>
      <c r="C10" t="s">
        <v>67</v>
      </c>
      <c r="D10">
        <v>1</v>
      </c>
      <c r="E10" s="46">
        <v>213000</v>
      </c>
      <c r="F10">
        <v>10</v>
      </c>
      <c r="G10">
        <v>0</v>
      </c>
      <c r="H10" s="35">
        <v>0</v>
      </c>
      <c r="I10">
        <v>0</v>
      </c>
      <c r="K10" s="11" cm="1">
        <f t="array" ref="K10">IFERROR(INDEX(Max_cycle_table[Takt time],MATCH(1, (Max_cycle_table[Shifts/day]=I10) * (Max_cycle_table[Hours/shift]=J10), 0)),0)</f>
        <v>0</v>
      </c>
      <c r="L10">
        <f t="shared" si="0"/>
        <v>1</v>
      </c>
      <c r="M10" s="11">
        <f t="shared" ref="M10:M15" si="3">IFERROR((G10/K10)*H10*L10*I10,0)</f>
        <v>0</v>
      </c>
      <c r="N10" s="7">
        <f>VLOOKUP(C10,Scale_table[#All],2,FALSE)</f>
        <v>0.99889624724061821</v>
      </c>
      <c r="O10" s="37">
        <f>E10*L10*('Manufacturing inputs'!$B$16+(1-'Manufacturing inputs'!$B$16)*N10)</f>
        <v>212835.43046357617</v>
      </c>
      <c r="P10" s="3">
        <f t="shared" si="1"/>
        <v>9.9889624724061825</v>
      </c>
      <c r="Q10">
        <f t="shared" si="2"/>
        <v>0</v>
      </c>
      <c r="R10" s="44">
        <f>O10*'Manufacturing inputs'!$B$2</f>
        <v>8.5134172185430472</v>
      </c>
      <c r="S10" s="44">
        <f>(M10*'Manufacturing inputs'!$B$9)/'Manufacturing inputs'!$B$1</f>
        <v>0</v>
      </c>
      <c r="T10" s="44">
        <f>Q10*'Manufacturing inputs'!$B$8</f>
        <v>0</v>
      </c>
      <c r="U10" s="45">
        <f>R10/'Manufacturing inputs'!$B$5</f>
        <v>4.7035454246094184E-2</v>
      </c>
      <c r="V10" s="45">
        <f>S10/'Manufacturing inputs'!$B$5</f>
        <v>0</v>
      </c>
      <c r="W10" s="45">
        <f>T10/'Manufacturing inputs'!$B$5</f>
        <v>0</v>
      </c>
    </row>
    <row r="11" spans="1:23" x14ac:dyDescent="0.25">
      <c r="A11" t="s">
        <v>175</v>
      </c>
      <c r="B11" t="s">
        <v>166</v>
      </c>
      <c r="C11" t="s">
        <v>6</v>
      </c>
      <c r="D11">
        <v>1</v>
      </c>
      <c r="E11" s="46">
        <v>120000</v>
      </c>
      <c r="F11">
        <v>30</v>
      </c>
      <c r="G11">
        <v>1.5</v>
      </c>
      <c r="H11" s="35">
        <v>0.2</v>
      </c>
      <c r="I11">
        <v>1</v>
      </c>
      <c r="J11" s="47">
        <v>7.5</v>
      </c>
      <c r="K11" s="48">
        <f>'Manufacturing inputs'!$J$5</f>
        <v>342.3</v>
      </c>
      <c r="L11">
        <f t="shared" si="0"/>
        <v>1</v>
      </c>
      <c r="M11" s="11">
        <f t="shared" si="3"/>
        <v>8.7642418930762491E-4</v>
      </c>
      <c r="N11" s="7">
        <f>VLOOKUP(C11,Scale_table[#All],2,FALSE)</f>
        <v>0.625</v>
      </c>
      <c r="O11" s="37">
        <f>E11*L11*('Manufacturing inputs'!$B$16+(1-'Manufacturing inputs'!$B$16)*N11)</f>
        <v>88500</v>
      </c>
      <c r="P11" s="3">
        <f t="shared" si="1"/>
        <v>18.75</v>
      </c>
      <c r="Q11">
        <f t="shared" si="2"/>
        <v>28.125</v>
      </c>
      <c r="R11" s="44">
        <f>O11*'Manufacturing inputs'!$B$2</f>
        <v>3.5400000000000005</v>
      </c>
      <c r="S11" s="44">
        <f>(M11*'Manufacturing inputs'!$B$9)/'Manufacturing inputs'!$B$1</f>
        <v>1.515863277826468E-2</v>
      </c>
      <c r="T11" s="44">
        <f>Q11*'Manufacturing inputs'!$B$8</f>
        <v>0.24039062500000002</v>
      </c>
      <c r="U11" s="45">
        <f>R11/'Manufacturing inputs'!$B$5</f>
        <v>1.955801104972376E-2</v>
      </c>
      <c r="V11" s="45">
        <f>S11/'Manufacturing inputs'!$B$5</f>
        <v>8.3749352366103202E-5</v>
      </c>
      <c r="W11" s="45">
        <f>T11/'Manufacturing inputs'!$B$5</f>
        <v>1.3281250000000001E-3</v>
      </c>
    </row>
    <row r="12" spans="1:23" x14ac:dyDescent="0.25">
      <c r="A12" t="s">
        <v>176</v>
      </c>
      <c r="B12" t="s">
        <v>166</v>
      </c>
      <c r="C12" t="s">
        <v>66</v>
      </c>
      <c r="D12">
        <v>1</v>
      </c>
      <c r="E12" s="46">
        <v>267000</v>
      </c>
      <c r="F12">
        <v>16.3</v>
      </c>
      <c r="G12">
        <v>1</v>
      </c>
      <c r="H12" s="35">
        <v>1</v>
      </c>
      <c r="I12">
        <v>1</v>
      </c>
      <c r="J12" s="47">
        <v>7.5</v>
      </c>
      <c r="K12" s="48">
        <f>'Manufacturing inputs'!$J$5</f>
        <v>342.3</v>
      </c>
      <c r="L12">
        <f t="shared" si="0"/>
        <v>1</v>
      </c>
      <c r="M12" s="11">
        <f t="shared" si="3"/>
        <v>2.9214139643587494E-3</v>
      </c>
      <c r="N12" s="7">
        <f>VLOOKUP(C12,Scale_table[#All],2,FALSE)</f>
        <v>0.5009661835748791</v>
      </c>
      <c r="O12" s="37">
        <f>E12*L12*('Manufacturing inputs'!$B$16+(1-'Manufacturing inputs'!$B$16)*N12)</f>
        <v>173730.5797101449</v>
      </c>
      <c r="P12" s="3">
        <f t="shared" si="1"/>
        <v>8.165748792270529</v>
      </c>
      <c r="Q12">
        <f t="shared" si="2"/>
        <v>8.165748792270529</v>
      </c>
      <c r="R12" s="44">
        <f>O12*'Manufacturing inputs'!$B$2</f>
        <v>6.9492231884057967</v>
      </c>
      <c r="S12" s="44">
        <f>(M12*'Manufacturing inputs'!$B$9)/'Manufacturing inputs'!$B$1</f>
        <v>5.0528775927548931E-2</v>
      </c>
      <c r="T12" s="44">
        <f>Q12*'Manufacturing inputs'!$B$8</f>
        <v>6.979446953837895E-2</v>
      </c>
      <c r="U12" s="45">
        <f>R12/'Manufacturing inputs'!$B$5</f>
        <v>3.8393498278485066E-2</v>
      </c>
      <c r="V12" s="45">
        <f>S12/'Manufacturing inputs'!$B$5</f>
        <v>2.7916450788701065E-4</v>
      </c>
      <c r="W12" s="45">
        <f>T12/'Manufacturing inputs'!$B$5</f>
        <v>3.856048040794417E-4</v>
      </c>
    </row>
    <row r="13" spans="1:23" x14ac:dyDescent="0.25">
      <c r="A13" t="s">
        <v>177</v>
      </c>
      <c r="B13" t="s">
        <v>166</v>
      </c>
      <c r="C13" t="s">
        <v>6</v>
      </c>
      <c r="D13">
        <v>1</v>
      </c>
      <c r="E13" s="46">
        <v>77000</v>
      </c>
      <c r="F13">
        <v>2</v>
      </c>
      <c r="G13">
        <v>5.7</v>
      </c>
      <c r="H13" s="35">
        <v>0.2</v>
      </c>
      <c r="I13">
        <v>1</v>
      </c>
      <c r="J13">
        <v>7.5</v>
      </c>
      <c r="K13" s="11" cm="1">
        <f t="array" ref="K13">IFERROR(INDEX(Max_cycle_table[Takt time],
       MATCH(1, (Max_cycle_table[Shifts/day]=I13) * (Max_cycle_table[Hours/shift]=J13), 0)),0)</f>
        <v>5.7</v>
      </c>
      <c r="L13">
        <f t="shared" si="0"/>
        <v>1</v>
      </c>
      <c r="M13" s="11">
        <f t="shared" si="3"/>
        <v>0.2</v>
      </c>
      <c r="N13" s="7">
        <f>VLOOKUP(C13,Scale_table[#All],2,FALSE)</f>
        <v>0.625</v>
      </c>
      <c r="O13" s="37">
        <f>E13*L13*('Manufacturing inputs'!$B$16+(1-'Manufacturing inputs'!$B$16)*N13)</f>
        <v>56787.5</v>
      </c>
      <c r="P13" s="3">
        <f t="shared" si="1"/>
        <v>1.25</v>
      </c>
      <c r="Q13">
        <f t="shared" si="2"/>
        <v>7.125</v>
      </c>
      <c r="R13" s="44">
        <f>O13*'Manufacturing inputs'!$B$2</f>
        <v>2.2715000000000001</v>
      </c>
      <c r="S13" s="44">
        <f>(M13*'Manufacturing inputs'!$B$9)/'Manufacturing inputs'!$B$1</f>
        <v>3.4592000000000001</v>
      </c>
      <c r="T13" s="44">
        <f>Q13*'Manufacturing inputs'!$B$8</f>
        <v>6.0898958333333343E-2</v>
      </c>
      <c r="U13" s="45">
        <f>R13/'Manufacturing inputs'!$B$5</f>
        <v>1.2549723756906078E-2</v>
      </c>
      <c r="V13" s="45">
        <f>S13/'Manufacturing inputs'!$B$5</f>
        <v>1.9111602209944751E-2</v>
      </c>
      <c r="W13" s="45">
        <f>T13/'Manufacturing inputs'!$B$5</f>
        <v>3.3645833333333341E-4</v>
      </c>
    </row>
    <row r="14" spans="1:23" x14ac:dyDescent="0.25">
      <c r="A14" t="s">
        <v>178</v>
      </c>
      <c r="B14" t="s">
        <v>166</v>
      </c>
      <c r="C14" t="s">
        <v>6</v>
      </c>
      <c r="D14">
        <v>1</v>
      </c>
      <c r="E14" s="46">
        <v>65000</v>
      </c>
      <c r="F14">
        <v>2</v>
      </c>
      <c r="G14">
        <v>1</v>
      </c>
      <c r="H14" s="35">
        <v>0.2</v>
      </c>
      <c r="I14">
        <v>1</v>
      </c>
      <c r="J14">
        <v>7.5</v>
      </c>
      <c r="K14" s="11" cm="1">
        <f t="array" ref="K14">IFERROR(INDEX(Max_cycle_table[Takt time],
       MATCH(1, (Max_cycle_table[Shifts/day]=I14) * (Max_cycle_table[Hours/shift]=J14), 0)),0)</f>
        <v>5.7</v>
      </c>
      <c r="L14">
        <f t="shared" si="0"/>
        <v>1</v>
      </c>
      <c r="M14" s="11">
        <f t="shared" si="3"/>
        <v>3.5087719298245612E-2</v>
      </c>
      <c r="N14" s="7">
        <f>VLOOKUP(C14,Scale_table[#All],2,FALSE)</f>
        <v>0.625</v>
      </c>
      <c r="O14" s="37">
        <f>E14*L14*('Manufacturing inputs'!$B$16+(1-'Manufacturing inputs'!$B$16)*N14)</f>
        <v>47937.5</v>
      </c>
      <c r="P14" s="3">
        <f t="shared" si="1"/>
        <v>1.25</v>
      </c>
      <c r="Q14">
        <f t="shared" si="2"/>
        <v>1.25</v>
      </c>
      <c r="R14" s="44">
        <f>O14*'Manufacturing inputs'!$B$2</f>
        <v>1.9175000000000002</v>
      </c>
      <c r="S14" s="44">
        <f>(M14*'Manufacturing inputs'!$B$9)/'Manufacturing inputs'!$B$1</f>
        <v>0.60687719298245613</v>
      </c>
      <c r="T14" s="44">
        <f>Q14*'Manufacturing inputs'!$B$8</f>
        <v>1.0684027777777778E-2</v>
      </c>
      <c r="U14" s="45">
        <f>R14/'Manufacturing inputs'!$B$5</f>
        <v>1.0593922651933704E-2</v>
      </c>
      <c r="V14" s="45">
        <f>S14/'Manufacturing inputs'!$B$5</f>
        <v>3.3529126684113597E-3</v>
      </c>
      <c r="W14" s="45">
        <f>T14/'Manufacturing inputs'!$B$5</f>
        <v>5.902777777777778E-5</v>
      </c>
    </row>
    <row r="15" spans="1:23" x14ac:dyDescent="0.25">
      <c r="A15" s="6" t="s">
        <v>179</v>
      </c>
      <c r="B15" t="s">
        <v>180</v>
      </c>
      <c r="C15" t="s">
        <v>66</v>
      </c>
      <c r="D15">
        <v>1</v>
      </c>
      <c r="E15" s="46">
        <v>498000</v>
      </c>
      <c r="F15">
        <v>0</v>
      </c>
      <c r="G15">
        <v>0</v>
      </c>
      <c r="H15" s="35">
        <v>0</v>
      </c>
      <c r="K15" s="11" cm="1">
        <f t="array" ref="K15">IFERROR(INDEX(Max_cycle_table[Takt time],
       MATCH(1, (Max_cycle_table[Shifts/day]=I15) * (Max_cycle_table[Hours/shift]=J15), 0)),0)</f>
        <v>0</v>
      </c>
      <c r="L15">
        <f t="shared" si="0"/>
        <v>1</v>
      </c>
      <c r="M15" s="11">
        <f t="shared" si="3"/>
        <v>0</v>
      </c>
      <c r="N15" s="7">
        <f>VLOOKUP(C15,Scale_table[#All],2,FALSE)</f>
        <v>0.5009661835748791</v>
      </c>
      <c r="O15" s="37">
        <f>E15*L15*('Manufacturing inputs'!$B$16+(1-'Manufacturing inputs'!$B$16)*N15)</f>
        <v>324036.81159420282</v>
      </c>
      <c r="P15" s="3">
        <f t="shared" si="1"/>
        <v>0</v>
      </c>
      <c r="Q15">
        <f t="shared" si="2"/>
        <v>0</v>
      </c>
      <c r="R15" s="44">
        <f>O15/'Manufacturing inputs'!$B$1</f>
        <v>64.807362318840561</v>
      </c>
      <c r="S15" s="44">
        <f>(M15*'Manufacturing inputs'!$B$9)/'Manufacturing inputs'!$B$1</f>
        <v>0</v>
      </c>
      <c r="T15" s="44">
        <f>Q15*'Manufacturing inputs'!$B$8</f>
        <v>0</v>
      </c>
      <c r="U15" s="45">
        <f>R15/'Manufacturing inputs'!$B$5</f>
        <v>0.35805172551845615</v>
      </c>
      <c r="V15" s="45">
        <f>S15/'Manufacturing inputs'!$B$5</f>
        <v>0</v>
      </c>
      <c r="W15" s="45">
        <f>T15/'Manufacturing inputs'!$B$5</f>
        <v>0</v>
      </c>
    </row>
    <row r="16" spans="1:23" x14ac:dyDescent="0.25">
      <c r="A16" s="6" t="s">
        <v>181</v>
      </c>
      <c r="B16" t="s">
        <v>182</v>
      </c>
      <c r="C16" t="s">
        <v>34</v>
      </c>
      <c r="D16">
        <v>1</v>
      </c>
      <c r="E16" s="46">
        <v>75000</v>
      </c>
      <c r="F16">
        <v>7.5</v>
      </c>
      <c r="G16">
        <v>13.7</v>
      </c>
      <c r="H16" s="49"/>
      <c r="I16" s="50"/>
      <c r="J16" s="50"/>
      <c r="K16" s="51"/>
      <c r="L16">
        <f t="shared" si="0"/>
        <v>1</v>
      </c>
      <c r="M16" s="51">
        <f>1/8*L16</f>
        <v>0.125</v>
      </c>
      <c r="N16" s="7">
        <f>VLOOKUP(C16,Scale_table[#All],2,FALSE)</f>
        <v>0.6470588235294118</v>
      </c>
      <c r="O16" s="37">
        <f>E16*L16*('Manufacturing inputs'!$B$16+(1-'Manufacturing inputs'!$B$16)*N16)</f>
        <v>56470.588235294119</v>
      </c>
      <c r="P16" s="3">
        <f t="shared" si="1"/>
        <v>4.8529411764705888</v>
      </c>
      <c r="Q16">
        <f t="shared" si="2"/>
        <v>66.485294117647058</v>
      </c>
      <c r="R16" s="44">
        <f>O16*'Manufacturing inputs'!$B$2</f>
        <v>2.2588235294117651</v>
      </c>
      <c r="S16" s="44">
        <f>(M16*'Manufacturing inputs'!$B$9)/'Manufacturing inputs'!$B$1</f>
        <v>2.1619999999999999</v>
      </c>
      <c r="T16" s="44">
        <f>Q16*'Manufacturing inputs'!$B$8</f>
        <v>0.56826458333333341</v>
      </c>
      <c r="U16" s="45">
        <f>R16/'Manufacturing inputs'!$B$5</f>
        <v>1.2479688007799807E-2</v>
      </c>
      <c r="V16" s="45">
        <f>S16/'Manufacturing inputs'!$B$5</f>
        <v>1.1944751381215469E-2</v>
      </c>
      <c r="W16" s="45">
        <f>T16/'Manufacturing inputs'!$B$5</f>
        <v>3.1395833333333336E-3</v>
      </c>
    </row>
    <row r="17" spans="1:23" x14ac:dyDescent="0.25">
      <c r="A17" s="6" t="s">
        <v>183</v>
      </c>
      <c r="B17" t="s">
        <v>182</v>
      </c>
      <c r="C17" t="s">
        <v>34</v>
      </c>
      <c r="D17">
        <v>1</v>
      </c>
      <c r="E17" s="46">
        <v>507000</v>
      </c>
      <c r="F17">
        <v>50</v>
      </c>
      <c r="G17">
        <v>4.3</v>
      </c>
      <c r="H17" s="35">
        <v>2</v>
      </c>
      <c r="I17">
        <v>1</v>
      </c>
      <c r="J17">
        <v>7.5</v>
      </c>
      <c r="K17" s="11" cm="1">
        <f t="array" ref="K17">IFERROR(INDEX(Max_cycle_table[Takt time],
       MATCH(1, (Max_cycle_table[Shifts/day]=I17) * (Max_cycle_table[Hours/shift]=J17), 0)),0)</f>
        <v>5.7</v>
      </c>
      <c r="L17">
        <f t="shared" si="0"/>
        <v>1</v>
      </c>
      <c r="M17" s="11">
        <f t="shared" ref="M17:M23" si="4">IFERROR((G17/K17)*H17*L17*I17,0)</f>
        <v>1.5087719298245612</v>
      </c>
      <c r="N17" s="7">
        <f>VLOOKUP(C17,Scale_table[#All],2,FALSE)</f>
        <v>0.6470588235294118</v>
      </c>
      <c r="O17" s="37">
        <f>E17*L17*('Manufacturing inputs'!$B$16+(1-'Manufacturing inputs'!$B$16)*N17)</f>
        <v>381741.17647058825</v>
      </c>
      <c r="P17" s="3">
        <f t="shared" si="1"/>
        <v>32.352941176470587</v>
      </c>
      <c r="Q17">
        <f t="shared" si="2"/>
        <v>139.11764705882351</v>
      </c>
      <c r="R17" s="44">
        <f>O17*'Manufacturing inputs'!$B$2</f>
        <v>15.269647058823532</v>
      </c>
      <c r="S17" s="44">
        <f>(M17*'Manufacturing inputs'!$B$9)/'Manufacturing inputs'!$B$1</f>
        <v>26.095719298245609</v>
      </c>
      <c r="T17" s="44">
        <f>Q17*'Manufacturing inputs'!$B$8</f>
        <v>1.1890694444444445</v>
      </c>
      <c r="U17" s="45">
        <f>R17/'Manufacturing inputs'!$B$5</f>
        <v>8.4362690932726692E-2</v>
      </c>
      <c r="V17" s="45">
        <f>S17/'Manufacturing inputs'!$B$5</f>
        <v>0.14417524474168844</v>
      </c>
      <c r="W17" s="45">
        <f>T17/'Manufacturing inputs'!$B$5</f>
        <v>6.5694444444444446E-3</v>
      </c>
    </row>
    <row r="18" spans="1:23" x14ac:dyDescent="0.25">
      <c r="A18" s="6" t="s">
        <v>184</v>
      </c>
      <c r="B18" t="s">
        <v>182</v>
      </c>
      <c r="C18" t="s">
        <v>6</v>
      </c>
      <c r="D18">
        <v>2</v>
      </c>
      <c r="E18" s="46">
        <v>9091</v>
      </c>
      <c r="F18">
        <f>0.3/2</f>
        <v>0.15</v>
      </c>
      <c r="G18">
        <v>6.6</v>
      </c>
      <c r="H18" s="35">
        <v>0</v>
      </c>
      <c r="I18">
        <v>0</v>
      </c>
      <c r="K18" s="11" cm="1">
        <f t="array" ref="K18">IFERROR(INDEX(Max_cycle_table[Takt time],
       MATCH(1, (Max_cycle_table[Shifts/day]=I18) * (Max_cycle_table[Hours/shift]=J18), 0)),0)</f>
        <v>0</v>
      </c>
      <c r="L18">
        <f t="shared" si="0"/>
        <v>2</v>
      </c>
      <c r="M18" s="11">
        <f t="shared" si="4"/>
        <v>0</v>
      </c>
      <c r="N18" s="7">
        <f>VLOOKUP(C18,Scale_table[#All],2,FALSE)</f>
        <v>0.625</v>
      </c>
      <c r="O18" s="37">
        <f>E18*L18*('Manufacturing inputs'!$B$16+(1-'Manufacturing inputs'!$B$16)*N18)</f>
        <v>13409.225</v>
      </c>
      <c r="P18" s="3">
        <f t="shared" si="1"/>
        <v>0.1875</v>
      </c>
      <c r="Q18">
        <f t="shared" si="2"/>
        <v>1.2374999999999998</v>
      </c>
      <c r="R18" s="44">
        <f>O18*'Manufacturing inputs'!$B$2</f>
        <v>0.5363690000000001</v>
      </c>
      <c r="S18" s="44">
        <f>(M18*'Manufacturing inputs'!$B$9)/'Manufacturing inputs'!$B$1</f>
        <v>0</v>
      </c>
      <c r="T18" s="44">
        <f>Q18*'Manufacturing inputs'!$B$8</f>
        <v>1.05771875E-2</v>
      </c>
      <c r="U18" s="45">
        <f>R18/'Manufacturing inputs'!$B$5</f>
        <v>2.9633646408839783E-3</v>
      </c>
      <c r="V18" s="45">
        <f>S18/'Manufacturing inputs'!$B$5</f>
        <v>0</v>
      </c>
      <c r="W18" s="45">
        <f>T18/'Manufacturing inputs'!$B$5</f>
        <v>5.8437499999999997E-5</v>
      </c>
    </row>
    <row r="19" spans="1:23" x14ac:dyDescent="0.25">
      <c r="A19" s="6" t="s">
        <v>185</v>
      </c>
      <c r="B19" t="s">
        <v>182</v>
      </c>
      <c r="C19" t="s">
        <v>66</v>
      </c>
      <c r="D19">
        <v>2</v>
      </c>
      <c r="E19" s="46">
        <v>68170</v>
      </c>
      <c r="F19">
        <v>1.5</v>
      </c>
      <c r="G19">
        <v>6.6</v>
      </c>
      <c r="H19" s="35">
        <v>1</v>
      </c>
      <c r="I19">
        <v>3</v>
      </c>
      <c r="J19">
        <v>7.5</v>
      </c>
      <c r="K19" s="11" cm="1">
        <f t="array" ref="K19">IFERROR(INDEX(Max_cycle_table[Takt time],
       MATCH(1, (Max_cycle_table[Shifts/day]=I19) * (Max_cycle_table[Hours/shift]=J19), 0)),0)</f>
        <v>17.100000000000001</v>
      </c>
      <c r="L19">
        <f t="shared" si="0"/>
        <v>2</v>
      </c>
      <c r="M19" s="11">
        <f t="shared" si="4"/>
        <v>2.3157894736842102</v>
      </c>
      <c r="N19" s="7">
        <f>VLOOKUP(C19,Scale_table[#All],2,FALSE)</f>
        <v>0.5009661835748791</v>
      </c>
      <c r="O19" s="37">
        <f>E19*L19*('Manufacturing inputs'!$B$16+(1-'Manufacturing inputs'!$B$16)*N19)</f>
        <v>88713.210628019297</v>
      </c>
      <c r="P19" s="3">
        <f t="shared" si="1"/>
        <v>1.5028985507246373</v>
      </c>
      <c r="Q19">
        <f t="shared" si="2"/>
        <v>9.9191304347826055</v>
      </c>
      <c r="R19" s="44">
        <f>O19*'Manufacturing inputs'!$B$2</f>
        <v>3.548528425120772</v>
      </c>
      <c r="S19" s="44">
        <f>(M19*'Manufacturing inputs'!$B$9)/'Manufacturing inputs'!$B$1</f>
        <v>40.053894736842103</v>
      </c>
      <c r="T19" s="44">
        <f>Q19*'Manufacturing inputs'!$B$8</f>
        <v>8.4781012077294673E-2</v>
      </c>
      <c r="U19" s="45">
        <f>R19/'Manufacturing inputs'!$B$5</f>
        <v>1.9605129420556752E-2</v>
      </c>
      <c r="V19" s="45">
        <f>S19/'Manufacturing inputs'!$B$5</f>
        <v>0.22129223611514975</v>
      </c>
      <c r="W19" s="45">
        <f>T19/'Manufacturing inputs'!$B$5</f>
        <v>4.6840338164251202E-4</v>
      </c>
    </row>
    <row r="20" spans="1:23" x14ac:dyDescent="0.25">
      <c r="A20" s="6" t="s">
        <v>186</v>
      </c>
      <c r="B20" t="s">
        <v>182</v>
      </c>
      <c r="C20" t="s">
        <v>34</v>
      </c>
      <c r="D20">
        <v>2</v>
      </c>
      <c r="E20" s="46">
        <v>42500</v>
      </c>
      <c r="F20">
        <v>11</v>
      </c>
      <c r="G20">
        <v>6.6</v>
      </c>
      <c r="H20" s="35">
        <v>0</v>
      </c>
      <c r="I20">
        <v>0</v>
      </c>
      <c r="K20" s="11" cm="1">
        <f t="array" ref="K20">IFERROR(INDEX(Max_cycle_table[Takt time],
       MATCH(1, (Max_cycle_table[Shifts/day]=I20) * (Max_cycle_table[Hours/shift]=J20), 0)),0)</f>
        <v>0</v>
      </c>
      <c r="L20">
        <f t="shared" si="0"/>
        <v>2</v>
      </c>
      <c r="M20" s="11">
        <f t="shared" si="4"/>
        <v>0</v>
      </c>
      <c r="N20" s="7">
        <f>VLOOKUP(C20,Scale_table[#All],2,FALSE)</f>
        <v>0.6470588235294118</v>
      </c>
      <c r="O20" s="37">
        <f>E20*L20*('Manufacturing inputs'!$B$16+(1-'Manufacturing inputs'!$B$16)*N20)</f>
        <v>64000</v>
      </c>
      <c r="P20" s="3">
        <f t="shared" si="1"/>
        <v>14.23529411764706</v>
      </c>
      <c r="Q20">
        <f t="shared" si="2"/>
        <v>93.952941176470588</v>
      </c>
      <c r="R20" s="44">
        <f>O20*'Manufacturing inputs'!$B$2</f>
        <v>2.56</v>
      </c>
      <c r="S20" s="44">
        <f>(M20*'Manufacturing inputs'!$B$9)/'Manufacturing inputs'!$B$1</f>
        <v>0</v>
      </c>
      <c r="T20" s="44">
        <f>Q20*'Manufacturing inputs'!$B$8</f>
        <v>0.80303666666666673</v>
      </c>
      <c r="U20" s="45">
        <f>R20/'Manufacturing inputs'!$B$5</f>
        <v>1.4143646408839779E-2</v>
      </c>
      <c r="V20" s="45">
        <f>S20/'Manufacturing inputs'!$B$5</f>
        <v>0</v>
      </c>
      <c r="W20" s="45">
        <f>T20/'Manufacturing inputs'!$B$5</f>
        <v>4.4366666666666669E-3</v>
      </c>
    </row>
    <row r="21" spans="1:23" x14ac:dyDescent="0.25">
      <c r="A21" s="6" t="s">
        <v>187</v>
      </c>
      <c r="B21" t="s">
        <v>182</v>
      </c>
      <c r="C21" t="s">
        <v>6</v>
      </c>
      <c r="D21">
        <v>2</v>
      </c>
      <c r="E21" s="46">
        <v>3056</v>
      </c>
      <c r="F21">
        <v>0.05</v>
      </c>
      <c r="G21">
        <v>6.6</v>
      </c>
      <c r="H21" s="35">
        <v>0</v>
      </c>
      <c r="I21">
        <v>0</v>
      </c>
      <c r="K21" s="11" cm="1">
        <f t="array" ref="K21">IFERROR(INDEX(Max_cycle_table[Takt time],
       MATCH(1, (Max_cycle_table[Shifts/day]=I21) * (Max_cycle_table[Hours/shift]=J21), 0)),0)</f>
        <v>0</v>
      </c>
      <c r="L21">
        <f t="shared" si="0"/>
        <v>2</v>
      </c>
      <c r="M21" s="11">
        <f t="shared" si="4"/>
        <v>0</v>
      </c>
      <c r="N21" s="7">
        <f>VLOOKUP(C21,Scale_table[#All],2,FALSE)</f>
        <v>0.625</v>
      </c>
      <c r="O21" s="37">
        <f>E21*L21*('Manufacturing inputs'!$B$16+(1-'Manufacturing inputs'!$B$16)*N21)</f>
        <v>4507.6000000000004</v>
      </c>
      <c r="P21" s="3">
        <f t="shared" si="1"/>
        <v>6.25E-2</v>
      </c>
      <c r="Q21">
        <f t="shared" si="2"/>
        <v>0.41249999999999998</v>
      </c>
      <c r="R21" s="44">
        <f>O21*'Manufacturing inputs'!$B$2</f>
        <v>0.18030400000000002</v>
      </c>
      <c r="S21" s="44">
        <f>(M21*'Manufacturing inputs'!$B$9)/'Manufacturing inputs'!$B$1</f>
        <v>0</v>
      </c>
      <c r="T21" s="44">
        <f>Q21*'Manufacturing inputs'!$B$8</f>
        <v>3.525729166666667E-3</v>
      </c>
      <c r="U21" s="45">
        <f>R21/'Manufacturing inputs'!$B$5</f>
        <v>9.9615469613259684E-4</v>
      </c>
      <c r="V21" s="45">
        <f>S21/'Manufacturing inputs'!$B$5</f>
        <v>0</v>
      </c>
      <c r="W21" s="45">
        <f>T21/'Manufacturing inputs'!$B$5</f>
        <v>1.9479166666666668E-5</v>
      </c>
    </row>
    <row r="22" spans="1:23" x14ac:dyDescent="0.25">
      <c r="A22" s="6" t="s">
        <v>188</v>
      </c>
      <c r="B22" t="s">
        <v>182</v>
      </c>
      <c r="C22" t="s">
        <v>6</v>
      </c>
      <c r="D22">
        <v>1</v>
      </c>
      <c r="E22" s="46">
        <v>15000</v>
      </c>
      <c r="F22">
        <v>1</v>
      </c>
      <c r="G22">
        <v>2</v>
      </c>
      <c r="H22" s="35">
        <v>1</v>
      </c>
      <c r="I22">
        <v>1</v>
      </c>
      <c r="J22">
        <v>7.5</v>
      </c>
      <c r="K22" s="11" cm="1">
        <f t="array" ref="K22">IFERROR(INDEX(Max_cycle_table[Takt time],
       MATCH(1, (Max_cycle_table[Shifts/day]=I22) * (Max_cycle_table[Hours/shift]=J22), 0)),0)</f>
        <v>5.7</v>
      </c>
      <c r="L22">
        <f t="shared" si="0"/>
        <v>1</v>
      </c>
      <c r="M22" s="11">
        <f t="shared" si="4"/>
        <v>0.35087719298245612</v>
      </c>
      <c r="N22" s="7">
        <f>VLOOKUP(C22,Scale_table[#All],2,FALSE)</f>
        <v>0.625</v>
      </c>
      <c r="O22" s="37">
        <f>E22*L22*('Manufacturing inputs'!$B$16+(1-'Manufacturing inputs'!$B$16)*N22)</f>
        <v>11062.5</v>
      </c>
      <c r="P22" s="3">
        <f t="shared" si="1"/>
        <v>0.625</v>
      </c>
      <c r="Q22">
        <f t="shared" si="2"/>
        <v>1.25</v>
      </c>
      <c r="R22" s="44">
        <f>O22*'Manufacturing inputs'!$B$2</f>
        <v>0.44250000000000006</v>
      </c>
      <c r="S22" s="44">
        <f>(M22*'Manufacturing inputs'!$B$9)/'Manufacturing inputs'!$B$1</f>
        <v>6.0687719298245613</v>
      </c>
      <c r="T22" s="44">
        <f>Q22*'Manufacturing inputs'!$B$8</f>
        <v>1.0684027777777778E-2</v>
      </c>
      <c r="U22" s="45">
        <f>R22/'Manufacturing inputs'!$B$5</f>
        <v>2.44475138121547E-3</v>
      </c>
      <c r="V22" s="45">
        <f>S22/'Manufacturing inputs'!$B$5</f>
        <v>3.3529126684113598E-2</v>
      </c>
      <c r="W22" s="45">
        <f>T22/'Manufacturing inputs'!$B$5</f>
        <v>5.902777777777778E-5</v>
      </c>
    </row>
    <row r="23" spans="1:23" x14ac:dyDescent="0.25">
      <c r="A23" s="12" t="s">
        <v>189</v>
      </c>
      <c r="B23" t="s">
        <v>182</v>
      </c>
      <c r="C23" t="s">
        <v>34</v>
      </c>
      <c r="D23">
        <v>1</v>
      </c>
      <c r="E23" s="46">
        <v>2550000</v>
      </c>
      <c r="F23">
        <v>320</v>
      </c>
      <c r="G23" s="8">
        <v>18.3</v>
      </c>
      <c r="H23" s="35">
        <v>0.5</v>
      </c>
      <c r="I23">
        <v>3</v>
      </c>
      <c r="J23">
        <v>8</v>
      </c>
      <c r="K23" s="11" cm="1">
        <f t="array" ref="K23">IFERROR(INDEX(Max_cycle_table[Takt time],
       MATCH(1, (Max_cycle_table[Shifts/day]=I23) * (Max_cycle_table[Hours/shift]=J23), 0)),0)</f>
        <v>18.3</v>
      </c>
      <c r="L23">
        <f t="shared" si="0"/>
        <v>1</v>
      </c>
      <c r="M23" s="11">
        <f t="shared" si="4"/>
        <v>1.5</v>
      </c>
      <c r="N23" s="7">
        <f>VLOOKUP(C23,Scale_table[#All],2,FALSE)</f>
        <v>0.6470588235294118</v>
      </c>
      <c r="O23" s="37">
        <f>E23*L23*('Manufacturing inputs'!$B$16+(1-'Manufacturing inputs'!$B$16)*N23)</f>
        <v>1920000</v>
      </c>
      <c r="P23" s="3">
        <f t="shared" si="1"/>
        <v>207.05882352941177</v>
      </c>
      <c r="Q23">
        <f t="shared" si="2"/>
        <v>3789.1764705882356</v>
      </c>
      <c r="R23" s="44">
        <f>O23*'Manufacturing inputs'!$B$2</f>
        <v>76.800000000000011</v>
      </c>
      <c r="S23" s="44">
        <f>(M23*'Manufacturing inputs'!$B$9)/'Manufacturing inputs'!$B$1</f>
        <v>25.943999999999999</v>
      </c>
      <c r="T23" s="44">
        <f>Q23*'Manufacturing inputs'!$B$8</f>
        <v>32.386933333333339</v>
      </c>
      <c r="U23" s="45">
        <f>R23/'Manufacturing inputs'!$B$5</f>
        <v>0.42430939226519343</v>
      </c>
      <c r="V23" s="45">
        <f>S23/'Manufacturing inputs'!$B$5</f>
        <v>0.14333701657458564</v>
      </c>
      <c r="W23" s="45">
        <f>T23/'Manufacturing inputs'!$B$5</f>
        <v>0.17893333333333336</v>
      </c>
    </row>
    <row r="24" spans="1:23" x14ac:dyDescent="0.25">
      <c r="A24" s="6" t="s">
        <v>190</v>
      </c>
      <c r="B24" t="s">
        <v>182</v>
      </c>
      <c r="C24" t="s">
        <v>34</v>
      </c>
      <c r="D24">
        <v>1</v>
      </c>
      <c r="E24" s="46">
        <v>46875</v>
      </c>
      <c r="F24">
        <v>5.5</v>
      </c>
      <c r="G24">
        <v>11</v>
      </c>
      <c r="H24" s="52"/>
      <c r="I24" s="50"/>
      <c r="J24" s="50"/>
      <c r="K24" s="51"/>
      <c r="L24">
        <f t="shared" si="0"/>
        <v>1</v>
      </c>
      <c r="M24" s="11">
        <f>1/7.5*L24</f>
        <v>0.13333333333333333</v>
      </c>
      <c r="N24" s="7">
        <f>VLOOKUP(C24,Scale_table[#All],2,FALSE)</f>
        <v>0.6470588235294118</v>
      </c>
      <c r="O24" s="37">
        <f>E24*L24*('Manufacturing inputs'!$B$16+(1-'Manufacturing inputs'!$B$16)*N24)</f>
        <v>35294.117647058825</v>
      </c>
      <c r="P24" s="3">
        <f t="shared" si="1"/>
        <v>3.5588235294117649</v>
      </c>
      <c r="Q24">
        <f t="shared" si="2"/>
        <v>39.147058823529413</v>
      </c>
      <c r="R24" s="44">
        <f>O24*'Manufacturing inputs'!$B$2</f>
        <v>1.411764705882353</v>
      </c>
      <c r="S24" s="44">
        <f>(M24*'Manufacturing inputs'!$B$9)/'Manufacturing inputs'!$B$1</f>
        <v>2.3061333333333334</v>
      </c>
      <c r="T24" s="44">
        <f>Q24*'Manufacturing inputs'!$B$8</f>
        <v>0.33459861111111117</v>
      </c>
      <c r="U24" s="45">
        <f>R24/'Manufacturing inputs'!$B$5</f>
        <v>7.7998050048748782E-3</v>
      </c>
      <c r="V24" s="45">
        <f>S24/'Manufacturing inputs'!$B$5</f>
        <v>1.2741068139963167E-2</v>
      </c>
      <c r="W24" s="45">
        <f>T24/'Manufacturing inputs'!$B$5</f>
        <v>1.8486111111111114E-3</v>
      </c>
    </row>
    <row r="25" spans="1:23" x14ac:dyDescent="0.25">
      <c r="A25" s="6" t="s">
        <v>191</v>
      </c>
      <c r="B25" t="s">
        <v>192</v>
      </c>
      <c r="C25" s="6" t="s">
        <v>6</v>
      </c>
      <c r="D25">
        <v>2</v>
      </c>
      <c r="E25" s="46">
        <f>340000/2</f>
        <v>170000</v>
      </c>
      <c r="F25">
        <v>5</v>
      </c>
      <c r="G25">
        <v>16.2</v>
      </c>
      <c r="H25" s="35">
        <v>0.2</v>
      </c>
      <c r="I25">
        <v>3</v>
      </c>
      <c r="J25">
        <v>7.5</v>
      </c>
      <c r="K25" s="11" cm="1">
        <f t="array" ref="K25">IFERROR(INDEX(Max_cycle_table[Takt time],
       MATCH(1, (Max_cycle_table[Shifts/day]=I25) * (Max_cycle_table[Hours/shift]=J25), 0)),0)</f>
        <v>17.100000000000001</v>
      </c>
      <c r="L25">
        <f t="shared" si="0"/>
        <v>2</v>
      </c>
      <c r="M25" s="11">
        <f>IFERROR((G25/K25)*H25*L25*I25,0)</f>
        <v>1.1368421052631579</v>
      </c>
      <c r="N25" s="7">
        <f>VLOOKUP(C25,Scale_table[#All],2,FALSE)</f>
        <v>0.625</v>
      </c>
      <c r="O25" s="37">
        <f>E25*L25*('Manufacturing inputs'!$B$16+(1-'Manufacturing inputs'!$B$16)*N25)</f>
        <v>250750.00000000003</v>
      </c>
      <c r="P25" s="3">
        <f t="shared" si="1"/>
        <v>6.25</v>
      </c>
      <c r="Q25">
        <f t="shared" si="2"/>
        <v>101.25</v>
      </c>
      <c r="R25" s="44">
        <f>O25*'Manufacturing inputs'!$B$2</f>
        <v>10.030000000000001</v>
      </c>
      <c r="S25" s="44">
        <f>(M25*'Manufacturing inputs'!$B$9)/'Manufacturing inputs'!$B$1</f>
        <v>19.662821052631578</v>
      </c>
      <c r="T25" s="44">
        <f>Q25*'Manufacturing inputs'!$B$8</f>
        <v>0.86540625000000015</v>
      </c>
      <c r="U25" s="45">
        <f>R25/'Manufacturing inputs'!$B$5</f>
        <v>5.5414364640883985E-2</v>
      </c>
      <c r="V25" s="45">
        <f>S25/'Manufacturing inputs'!$B$5</f>
        <v>0.10863437045652806</v>
      </c>
      <c r="W25" s="45">
        <f>T25/'Manufacturing inputs'!$B$5</f>
        <v>4.7812500000000008E-3</v>
      </c>
    </row>
    <row r="26" spans="1:23" x14ac:dyDescent="0.25">
      <c r="A26" s="6" t="s">
        <v>193</v>
      </c>
      <c r="B26" t="s">
        <v>192</v>
      </c>
      <c r="C26" t="s">
        <v>66</v>
      </c>
      <c r="D26">
        <v>8</v>
      </c>
      <c r="E26" s="46">
        <f>720000/8</f>
        <v>90000</v>
      </c>
      <c r="F26">
        <v>2</v>
      </c>
      <c r="G26">
        <v>5.0999999999999996</v>
      </c>
      <c r="H26" s="35">
        <v>0.2</v>
      </c>
      <c r="I26">
        <v>1</v>
      </c>
      <c r="J26">
        <v>7.5</v>
      </c>
      <c r="K26" s="11" cm="1">
        <f t="array" ref="K26">IFERROR(INDEX(Max_cycle_table[Takt time],
       MATCH(1, (Max_cycle_table[Shifts/day]=I26) * (Max_cycle_table[Hours/shift]=J26), 0)),0)</f>
        <v>5.7</v>
      </c>
      <c r="L26">
        <v>8</v>
      </c>
      <c r="M26" s="11">
        <f>IFERROR((G26/K26)*H26*L26*I26,0)</f>
        <v>1.4315789473684211</v>
      </c>
      <c r="N26" s="7">
        <f>VLOOKUP(C26,Scale_table[#All],2,FALSE)</f>
        <v>0.5009661835748791</v>
      </c>
      <c r="O26" s="37">
        <f>E26*L26*('Manufacturing inputs'!$B$16+(1-'Manufacturing inputs'!$B$16)*N26)</f>
        <v>468486.95652173902</v>
      </c>
      <c r="P26" s="3">
        <f t="shared" si="1"/>
        <v>8.0154589371980656</v>
      </c>
      <c r="Q26">
        <f t="shared" si="2"/>
        <v>40.878840579710129</v>
      </c>
      <c r="R26" s="44">
        <f>O26*'Manufacturing inputs'!$B$2</f>
        <v>18.739478260869561</v>
      </c>
      <c r="S26" s="44">
        <f>(M26*'Manufacturing inputs'!$B$9)/'Manufacturing inputs'!$B$1</f>
        <v>24.76058947368421</v>
      </c>
      <c r="T26" s="44">
        <f>Q26*'Manufacturing inputs'!$B$8</f>
        <v>0.349400534621578</v>
      </c>
      <c r="U26" s="45">
        <f>R26/'Manufacturing inputs'!$B$5</f>
        <v>0.10353302906557768</v>
      </c>
      <c r="V26" s="45">
        <f>S26/'Manufacturing inputs'!$B$5</f>
        <v>0.13679883687118347</v>
      </c>
      <c r="W26" s="45">
        <f>T26/'Manufacturing inputs'!$B$5</f>
        <v>1.9303896940418674E-3</v>
      </c>
    </row>
    <row r="27" spans="1:23" x14ac:dyDescent="0.25">
      <c r="A27" s="6" t="s">
        <v>194</v>
      </c>
      <c r="B27" t="s">
        <v>192</v>
      </c>
      <c r="C27" t="s">
        <v>66</v>
      </c>
      <c r="D27">
        <v>1</v>
      </c>
      <c r="E27" s="46">
        <v>1147500</v>
      </c>
      <c r="F27">
        <v>100</v>
      </c>
      <c r="G27">
        <v>17.600000000000001</v>
      </c>
      <c r="H27" s="35">
        <v>0.2</v>
      </c>
      <c r="I27">
        <v>3</v>
      </c>
      <c r="J27">
        <v>8</v>
      </c>
      <c r="K27" s="11" cm="1">
        <f t="array" ref="K27">IFERROR(INDEX(Max_cycle_table[Takt time],
       MATCH(1, (Max_cycle_table[Shifts/day]=I27) * (Max_cycle_table[Hours/shift]=J27), 0)),0)</f>
        <v>18.3</v>
      </c>
      <c r="L27">
        <f>IFERROR(IF(G27&gt;K27,D27*ROUNDUP(G27/K27,0),D27),D27)</f>
        <v>1</v>
      </c>
      <c r="M27" s="11">
        <f>IFERROR((G27/K27)*H27*L27*I27,0)</f>
        <v>0.57704918032786889</v>
      </c>
      <c r="N27" s="7">
        <f>VLOOKUP(C27,Scale_table[#All],2,FALSE)</f>
        <v>0.5009661835748791</v>
      </c>
      <c r="O27" s="37">
        <f>E27*L27*('Manufacturing inputs'!$B$16+(1-'Manufacturing inputs'!$B$16)*N27)</f>
        <v>746651.08695652161</v>
      </c>
      <c r="P27" s="3">
        <f t="shared" si="1"/>
        <v>50.096618357487912</v>
      </c>
      <c r="Q27">
        <f t="shared" si="2"/>
        <v>881.70048309178731</v>
      </c>
      <c r="R27" s="44">
        <f>O27*'Manufacturing inputs'!$B$2</f>
        <v>29.866043478260867</v>
      </c>
      <c r="S27" s="44">
        <f>(M27*'Manufacturing inputs'!$B$9)/'Manufacturing inputs'!$B$1</f>
        <v>9.9806426229508194</v>
      </c>
      <c r="T27" s="44">
        <f>Q27*'Manufacturing inputs'!$B$8</f>
        <v>7.5360899624261943</v>
      </c>
      <c r="U27" s="45">
        <f>R27/'Manufacturing inputs'!$B$5</f>
        <v>0.16500576507326445</v>
      </c>
      <c r="V27" s="45">
        <f>S27/'Manufacturing inputs'!$B$5</f>
        <v>5.514167195000453E-2</v>
      </c>
      <c r="W27" s="45">
        <f>T27/'Manufacturing inputs'!$B$5</f>
        <v>4.1635856146001071E-2</v>
      </c>
    </row>
    <row r="28" spans="1:23" x14ac:dyDescent="0.25">
      <c r="A28" s="6" t="s">
        <v>195</v>
      </c>
      <c r="B28" t="s">
        <v>196</v>
      </c>
      <c r="C28" t="s">
        <v>66</v>
      </c>
      <c r="D28">
        <v>1</v>
      </c>
      <c r="E28" s="46">
        <v>80000</v>
      </c>
      <c r="F28">
        <v>0</v>
      </c>
      <c r="G28" s="53">
        <v>0</v>
      </c>
      <c r="H28" s="35">
        <v>1.6</v>
      </c>
      <c r="I28">
        <v>0</v>
      </c>
      <c r="K28" s="11" cm="1">
        <f t="array" ref="K28">IFERROR(INDEX(Max_cycle_table[Takt time],
       MATCH(1, (Max_cycle_table[Shifts/day]=I28) * (Max_cycle_table[Hours/shift]=J28), 0)),0)</f>
        <v>0</v>
      </c>
      <c r="L28">
        <f>IFERROR(IF(G28&gt;K28,D28*ROUNDUP(G28/K28,0),D28),D28)</f>
        <v>1</v>
      </c>
      <c r="M28" s="11">
        <f>H28*L28</f>
        <v>1.6</v>
      </c>
      <c r="N28" s="7">
        <f>VLOOKUP(C28,Scale_table[#All],2,FALSE)</f>
        <v>0.5009661835748791</v>
      </c>
      <c r="O28" s="37">
        <f>E28*L28*('Manufacturing inputs'!$B$16+(1-'Manufacturing inputs'!$B$16)*N28)</f>
        <v>52054.106280193228</v>
      </c>
      <c r="P28" s="3">
        <f t="shared" si="1"/>
        <v>0</v>
      </c>
      <c r="Q28">
        <f t="shared" si="2"/>
        <v>0</v>
      </c>
      <c r="R28" s="44">
        <f>O28*'Manufacturing inputs'!$B$2</f>
        <v>2.0821642512077294</v>
      </c>
      <c r="S28" s="44">
        <f>(M28*'Manufacturing inputs'!$B$9)/'Manufacturing inputs'!$B$1</f>
        <v>27.6736</v>
      </c>
      <c r="T28" s="44">
        <f>Q28*'Manufacturing inputs'!$B$8</f>
        <v>0</v>
      </c>
      <c r="U28" s="45">
        <f>R28/'Manufacturing inputs'!$B$5</f>
        <v>1.15036698961753E-2</v>
      </c>
      <c r="V28" s="45">
        <f>S28/'Manufacturing inputs'!$B$5</f>
        <v>0.15289281767955801</v>
      </c>
      <c r="W28" s="45">
        <f>T28/'Manufacturing inputs'!$B$5</f>
        <v>0</v>
      </c>
    </row>
    <row r="29" spans="1:23" x14ac:dyDescent="0.25">
      <c r="A29" s="6" t="s">
        <v>197</v>
      </c>
      <c r="B29" t="s">
        <v>196</v>
      </c>
      <c r="C29" t="s">
        <v>66</v>
      </c>
      <c r="D29">
        <v>1</v>
      </c>
      <c r="E29" s="46">
        <v>1700000</v>
      </c>
      <c r="F29">
        <v>90</v>
      </c>
      <c r="G29" s="54">
        <v>1</v>
      </c>
      <c r="H29" s="35">
        <v>2</v>
      </c>
      <c r="I29">
        <v>0</v>
      </c>
      <c r="K29" s="11" cm="1">
        <f t="array" ref="K29">IFERROR(INDEX(Max_cycle_table[Takt time],
       MATCH(1, (Max_cycle_table[Shifts/day]=I29) * (Max_cycle_table[Hours/shift]=J29), 0)),0)</f>
        <v>0</v>
      </c>
      <c r="L29">
        <f>IFERROR(IF(G29&gt;K29,D29*ROUNDUP(G29/K29,0),D29),D29)</f>
        <v>1</v>
      </c>
      <c r="M29" s="11">
        <f>H29*G29*L29</f>
        <v>2</v>
      </c>
      <c r="N29" s="7">
        <f>VLOOKUP(C29,Scale_table[#All],2,FALSE)</f>
        <v>0.5009661835748791</v>
      </c>
      <c r="O29" s="37">
        <f>E29*L29*('Manufacturing inputs'!$B$16+(1-'Manufacturing inputs'!$B$16)*N29)</f>
        <v>1106149.758454106</v>
      </c>
      <c r="P29" s="3">
        <f t="shared" si="1"/>
        <v>45.086956521739118</v>
      </c>
      <c r="Q29" s="55">
        <f>P29*G29*24/24.5</f>
        <v>44.166814551907706</v>
      </c>
      <c r="R29" s="44">
        <f>O29*'Manufacturing inputs'!$B$2</f>
        <v>44.245990338164248</v>
      </c>
      <c r="S29" s="44">
        <f>(M29*'Manufacturing inputs'!$B$9)/'Manufacturing inputs'!$B$1</f>
        <v>34.591999999999999</v>
      </c>
      <c r="T29" s="56">
        <f>Q29</f>
        <v>44.166814551907706</v>
      </c>
      <c r="U29" s="45">
        <f>R29/'Manufacturing inputs'!$B$5</f>
        <v>0.24445298529372511</v>
      </c>
      <c r="V29" s="45">
        <f>S29/'Manufacturing inputs'!$B$5</f>
        <v>0.1911160220994475</v>
      </c>
      <c r="W29" s="45">
        <f>T29/'Manufacturing inputs'!$B$5</f>
        <v>0.24401555001053982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2426-BF89-4036-B81D-10DE671C0672}">
  <sheetPr>
    <tabColor theme="8" tint="0.79998168889431442"/>
  </sheetPr>
  <dimension ref="A1:I16"/>
  <sheetViews>
    <sheetView workbookViewId="0">
      <selection activeCell="I3" sqref="I3"/>
    </sheetView>
  </sheetViews>
  <sheetFormatPr defaultColWidth="8.85546875" defaultRowHeight="15" x14ac:dyDescent="0.25"/>
  <cols>
    <col min="1" max="1" width="11.85546875" bestFit="1" customWidth="1"/>
    <col min="3" max="3" width="10.140625" customWidth="1"/>
  </cols>
  <sheetData>
    <row r="1" spans="1:9" x14ac:dyDescent="0.25">
      <c r="B1" t="s">
        <v>85</v>
      </c>
      <c r="C1" t="s">
        <v>87</v>
      </c>
      <c r="I1" t="s">
        <v>89</v>
      </c>
    </row>
    <row r="2" spans="1:9" x14ac:dyDescent="0.25">
      <c r="A2" t="s">
        <v>95</v>
      </c>
      <c r="B2" t="s">
        <v>198</v>
      </c>
      <c r="C2" t="s">
        <v>199</v>
      </c>
      <c r="H2" t="s">
        <v>141</v>
      </c>
      <c r="I2">
        <v>27</v>
      </c>
    </row>
    <row r="3" spans="1:9" x14ac:dyDescent="0.25">
      <c r="A3" t="s">
        <v>200</v>
      </c>
      <c r="B3">
        <v>1.7</v>
      </c>
      <c r="C3">
        <v>7.8</v>
      </c>
    </row>
    <row r="4" spans="1:9" x14ac:dyDescent="0.25">
      <c r="A4" t="s">
        <v>116</v>
      </c>
      <c r="B4">
        <v>30</v>
      </c>
      <c r="C4">
        <v>6.3</v>
      </c>
    </row>
    <row r="5" spans="1:9" x14ac:dyDescent="0.25">
      <c r="A5" t="s">
        <v>201</v>
      </c>
      <c r="B5">
        <v>90</v>
      </c>
      <c r="C5">
        <v>6.3</v>
      </c>
    </row>
    <row r="6" spans="1:9" x14ac:dyDescent="0.25">
      <c r="A6" t="s">
        <v>114</v>
      </c>
      <c r="B6">
        <v>260</v>
      </c>
      <c r="C6">
        <v>7.2</v>
      </c>
    </row>
    <row r="7" spans="1:9" x14ac:dyDescent="0.25">
      <c r="A7" t="s">
        <v>109</v>
      </c>
      <c r="B7">
        <v>55</v>
      </c>
      <c r="C7">
        <v>6.3</v>
      </c>
    </row>
    <row r="8" spans="1:9" x14ac:dyDescent="0.25">
      <c r="A8" t="s">
        <v>28</v>
      </c>
      <c r="B8">
        <v>25</v>
      </c>
      <c r="C8">
        <v>7.8</v>
      </c>
    </row>
    <row r="9" spans="1:9" x14ac:dyDescent="0.25">
      <c r="A9" t="s">
        <v>202</v>
      </c>
      <c r="B9">
        <v>19</v>
      </c>
      <c r="C9">
        <v>7.8</v>
      </c>
    </row>
    <row r="10" spans="1:9" x14ac:dyDescent="0.25">
      <c r="A10" t="s">
        <v>119</v>
      </c>
      <c r="B10">
        <v>29</v>
      </c>
      <c r="C10">
        <v>6.7</v>
      </c>
    </row>
    <row r="11" spans="1:9" x14ac:dyDescent="0.25">
      <c r="A11" t="s">
        <v>203</v>
      </c>
      <c r="B11">
        <f>B7</f>
        <v>55</v>
      </c>
      <c r="C11">
        <f>C7</f>
        <v>6.3</v>
      </c>
    </row>
    <row r="12" spans="1:9" x14ac:dyDescent="0.25">
      <c r="A12" t="s">
        <v>204</v>
      </c>
      <c r="B12">
        <f>B7</f>
        <v>55</v>
      </c>
      <c r="C12">
        <f>C7</f>
        <v>6.3</v>
      </c>
    </row>
    <row r="13" spans="1:9" x14ac:dyDescent="0.25">
      <c r="A13" t="s">
        <v>205</v>
      </c>
      <c r="B13">
        <f>B6</f>
        <v>260</v>
      </c>
      <c r="C13">
        <f>C6</f>
        <v>7.2</v>
      </c>
    </row>
    <row r="14" spans="1:9" x14ac:dyDescent="0.25">
      <c r="A14" t="s">
        <v>135</v>
      </c>
      <c r="B14">
        <v>37</v>
      </c>
      <c r="C14" s="3">
        <f>Calculations!B65</f>
        <v>1.4405885563835883</v>
      </c>
    </row>
    <row r="15" spans="1:9" x14ac:dyDescent="0.25">
      <c r="A15" t="s">
        <v>138</v>
      </c>
      <c r="B15">
        <v>250</v>
      </c>
      <c r="C15" s="3">
        <f>Calculations!B81</f>
        <v>4.9416381710888917</v>
      </c>
    </row>
    <row r="16" spans="1:9" x14ac:dyDescent="0.25">
      <c r="A16" t="s">
        <v>375</v>
      </c>
      <c r="B16">
        <v>5</v>
      </c>
      <c r="C16">
        <v>7.8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5437-9762-4890-81DE-1D54779AD872}">
  <sheetPr>
    <tabColor theme="8" tint="0.79998168889431442"/>
  </sheetPr>
  <dimension ref="A1:E41"/>
  <sheetViews>
    <sheetView workbookViewId="0"/>
  </sheetViews>
  <sheetFormatPr defaultRowHeight="15" x14ac:dyDescent="0.25"/>
  <cols>
    <col min="2" max="2" width="14.7109375" bestFit="1" customWidth="1"/>
    <col min="3" max="3" width="16.42578125" bestFit="1" customWidth="1"/>
    <col min="4" max="4" width="14.7109375" bestFit="1" customWidth="1"/>
  </cols>
  <sheetData>
    <row r="1" spans="1:5" x14ac:dyDescent="0.25">
      <c r="A1" s="77" t="s">
        <v>206</v>
      </c>
      <c r="B1" s="78" t="s">
        <v>207</v>
      </c>
      <c r="C1" s="78" t="s">
        <v>208</v>
      </c>
      <c r="D1" s="78" t="s">
        <v>209</v>
      </c>
      <c r="E1" s="79" t="s">
        <v>210</v>
      </c>
    </row>
    <row r="2" spans="1:5" x14ac:dyDescent="0.25">
      <c r="A2" s="73">
        <v>25</v>
      </c>
      <c r="B2" s="74">
        <v>-241.82599999999999</v>
      </c>
      <c r="C2" s="74">
        <v>-44.420999999999999</v>
      </c>
      <c r="D2" s="74">
        <v>-228.58199999999999</v>
      </c>
      <c r="E2" s="74">
        <v>298</v>
      </c>
    </row>
    <row r="3" spans="1:5" x14ac:dyDescent="0.25">
      <c r="A3" s="75">
        <v>50</v>
      </c>
      <c r="B3" s="76">
        <v>-242.077</v>
      </c>
      <c r="C3" s="76">
        <v>-45.228999999999999</v>
      </c>
      <c r="D3" s="76">
        <v>-227.46100000000001</v>
      </c>
      <c r="E3" s="76">
        <v>323</v>
      </c>
    </row>
    <row r="4" spans="1:5" x14ac:dyDescent="0.25">
      <c r="A4" s="73">
        <v>75</v>
      </c>
      <c r="B4" s="74">
        <v>-242.32300000000001</v>
      </c>
      <c r="C4" s="74">
        <v>-45.963999999999999</v>
      </c>
      <c r="D4" s="74">
        <v>-226.321</v>
      </c>
      <c r="E4" s="74">
        <v>348</v>
      </c>
    </row>
    <row r="5" spans="1:5" x14ac:dyDescent="0.25">
      <c r="A5" s="75">
        <v>100</v>
      </c>
      <c r="B5" s="76">
        <v>-242.566</v>
      </c>
      <c r="C5" s="76">
        <v>-46.637999999999998</v>
      </c>
      <c r="D5" s="76">
        <v>-225.16300000000001</v>
      </c>
      <c r="E5" s="76">
        <v>373</v>
      </c>
    </row>
    <row r="6" spans="1:5" x14ac:dyDescent="0.25">
      <c r="A6" s="73">
        <v>125</v>
      </c>
      <c r="B6" s="74">
        <v>-242.80600000000001</v>
      </c>
      <c r="C6" s="74">
        <v>-47.26</v>
      </c>
      <c r="D6" s="74">
        <v>-223.989</v>
      </c>
      <c r="E6" s="74">
        <v>398</v>
      </c>
    </row>
    <row r="7" spans="1:5" x14ac:dyDescent="0.25">
      <c r="A7" s="75">
        <v>150</v>
      </c>
      <c r="B7" s="76">
        <v>-243.04300000000001</v>
      </c>
      <c r="C7" s="76">
        <v>-47.835999999999999</v>
      </c>
      <c r="D7" s="76">
        <v>-222.80099999999999</v>
      </c>
      <c r="E7" s="76">
        <v>423</v>
      </c>
    </row>
    <row r="8" spans="1:5" x14ac:dyDescent="0.25">
      <c r="A8" s="73">
        <v>175</v>
      </c>
      <c r="B8" s="74">
        <v>-243.27699999999999</v>
      </c>
      <c r="C8" s="74">
        <v>-48.374000000000002</v>
      </c>
      <c r="D8" s="74">
        <v>-221.59800000000001</v>
      </c>
      <c r="E8" s="74">
        <v>448</v>
      </c>
    </row>
    <row r="9" spans="1:5" x14ac:dyDescent="0.25">
      <c r="A9" s="75">
        <v>200</v>
      </c>
      <c r="B9" s="76">
        <v>-243.50800000000001</v>
      </c>
      <c r="C9" s="76">
        <v>-48.877000000000002</v>
      </c>
      <c r="D9" s="76">
        <v>-220.38200000000001</v>
      </c>
      <c r="E9" s="76">
        <v>473</v>
      </c>
    </row>
    <row r="10" spans="1:5" x14ac:dyDescent="0.25">
      <c r="A10" s="73">
        <v>225</v>
      </c>
      <c r="B10" s="74">
        <v>-243.738</v>
      </c>
      <c r="C10" s="74">
        <v>-49.348999999999997</v>
      </c>
      <c r="D10" s="74">
        <v>-219.154</v>
      </c>
      <c r="E10" s="74">
        <v>498</v>
      </c>
    </row>
    <row r="11" spans="1:5" x14ac:dyDescent="0.25">
      <c r="A11" s="75">
        <v>250</v>
      </c>
      <c r="B11" s="76">
        <v>-243.964</v>
      </c>
      <c r="C11" s="76">
        <v>-49.792999999999999</v>
      </c>
      <c r="D11" s="76">
        <v>-217.91499999999999</v>
      </c>
      <c r="E11" s="76">
        <v>523</v>
      </c>
    </row>
    <row r="12" spans="1:5" x14ac:dyDescent="0.25">
      <c r="A12" s="73">
        <v>275</v>
      </c>
      <c r="B12" s="74">
        <v>-244.18899999999999</v>
      </c>
      <c r="C12" s="74">
        <v>-50.213000000000001</v>
      </c>
      <c r="D12" s="74">
        <v>-216.66499999999999</v>
      </c>
      <c r="E12" s="74">
        <v>548</v>
      </c>
    </row>
    <row r="13" spans="1:5" x14ac:dyDescent="0.25">
      <c r="A13" s="75">
        <v>300</v>
      </c>
      <c r="B13" s="76">
        <v>-244.411</v>
      </c>
      <c r="C13" s="76">
        <v>-50.609000000000002</v>
      </c>
      <c r="D13" s="76">
        <v>-215.405</v>
      </c>
      <c r="E13" s="76">
        <v>573</v>
      </c>
    </row>
    <row r="14" spans="1:5" x14ac:dyDescent="0.25">
      <c r="A14" s="73">
        <v>325</v>
      </c>
      <c r="B14" s="74">
        <v>-244.631</v>
      </c>
      <c r="C14" s="74">
        <v>-50.984000000000002</v>
      </c>
      <c r="D14" s="74">
        <v>-214.13499999999999</v>
      </c>
      <c r="E14" s="74">
        <v>598</v>
      </c>
    </row>
    <row r="15" spans="1:5" x14ac:dyDescent="0.25">
      <c r="A15" s="75">
        <v>350</v>
      </c>
      <c r="B15" s="76">
        <v>-244.84800000000001</v>
      </c>
      <c r="C15" s="76">
        <v>-51.338999999999999</v>
      </c>
      <c r="D15" s="76">
        <v>-212.85599999999999</v>
      </c>
      <c r="E15" s="76">
        <v>623</v>
      </c>
    </row>
    <row r="16" spans="1:5" x14ac:dyDescent="0.25">
      <c r="A16" s="73">
        <v>375</v>
      </c>
      <c r="B16" s="74">
        <v>-245.06200000000001</v>
      </c>
      <c r="C16" s="74">
        <v>-51.677</v>
      </c>
      <c r="D16" s="74">
        <v>-211.56800000000001</v>
      </c>
      <c r="E16" s="74">
        <v>648</v>
      </c>
    </row>
    <row r="17" spans="1:5" x14ac:dyDescent="0.25">
      <c r="A17" s="75">
        <v>400</v>
      </c>
      <c r="B17" s="76">
        <v>-245.274</v>
      </c>
      <c r="C17" s="76">
        <v>-51.997999999999998</v>
      </c>
      <c r="D17" s="76">
        <v>-210.27199999999999</v>
      </c>
      <c r="E17" s="76">
        <v>673</v>
      </c>
    </row>
    <row r="18" spans="1:5" x14ac:dyDescent="0.25">
      <c r="A18" s="73">
        <v>425</v>
      </c>
      <c r="B18" s="74">
        <v>-245.483</v>
      </c>
      <c r="C18" s="74">
        <v>-52.302</v>
      </c>
      <c r="D18" s="74">
        <v>-208.96799999999999</v>
      </c>
      <c r="E18" s="74">
        <v>698</v>
      </c>
    </row>
    <row r="19" spans="1:5" x14ac:dyDescent="0.25">
      <c r="A19" s="75">
        <v>450</v>
      </c>
      <c r="B19" s="76">
        <v>-245.68899999999999</v>
      </c>
      <c r="C19" s="76">
        <v>-52.593000000000004</v>
      </c>
      <c r="D19" s="76">
        <v>-207.65700000000001</v>
      </c>
      <c r="E19" s="76">
        <v>723</v>
      </c>
    </row>
    <row r="20" spans="1:5" x14ac:dyDescent="0.25">
      <c r="A20" s="73">
        <v>475</v>
      </c>
      <c r="B20" s="74">
        <v>-245.892</v>
      </c>
      <c r="C20" s="74">
        <v>-52.869</v>
      </c>
      <c r="D20" s="74">
        <v>-206.339</v>
      </c>
      <c r="E20" s="74">
        <v>748</v>
      </c>
    </row>
    <row r="21" spans="1:5" x14ac:dyDescent="0.25">
      <c r="A21" s="75">
        <v>500</v>
      </c>
      <c r="B21" s="76">
        <v>-246.09200000000001</v>
      </c>
      <c r="C21" s="76">
        <v>-53.131999999999998</v>
      </c>
      <c r="D21" s="76">
        <v>-205.01400000000001</v>
      </c>
      <c r="E21" s="76">
        <v>773</v>
      </c>
    </row>
    <row r="22" spans="1:5" x14ac:dyDescent="0.25">
      <c r="A22" s="73">
        <v>525</v>
      </c>
      <c r="B22" s="74">
        <v>-246.28899999999999</v>
      </c>
      <c r="C22" s="74">
        <v>-53.381999999999998</v>
      </c>
      <c r="D22" s="74">
        <v>-203.68199999999999</v>
      </c>
      <c r="E22" s="74">
        <v>798</v>
      </c>
    </row>
    <row r="23" spans="1:5" x14ac:dyDescent="0.25">
      <c r="A23" s="75">
        <v>550</v>
      </c>
      <c r="B23" s="76">
        <v>-246.482</v>
      </c>
      <c r="C23" s="76">
        <v>-53.62</v>
      </c>
      <c r="D23" s="76">
        <v>-202.345</v>
      </c>
      <c r="E23" s="76">
        <v>823</v>
      </c>
    </row>
    <row r="24" spans="1:5" x14ac:dyDescent="0.25">
      <c r="A24" s="73">
        <v>575</v>
      </c>
      <c r="B24" s="74">
        <v>-246.67099999999999</v>
      </c>
      <c r="C24" s="74">
        <v>-53.847000000000001</v>
      </c>
      <c r="D24" s="74">
        <v>-201.001</v>
      </c>
      <c r="E24" s="74">
        <v>848</v>
      </c>
    </row>
    <row r="25" spans="1:5" x14ac:dyDescent="0.25">
      <c r="A25" s="75">
        <v>600</v>
      </c>
      <c r="B25" s="76">
        <v>-246.857</v>
      </c>
      <c r="C25" s="76">
        <v>-54.063000000000002</v>
      </c>
      <c r="D25" s="76">
        <v>-199.65199999999999</v>
      </c>
      <c r="E25" s="76">
        <v>873</v>
      </c>
    </row>
    <row r="26" spans="1:5" x14ac:dyDescent="0.25">
      <c r="A26" s="73">
        <v>625</v>
      </c>
      <c r="B26" s="74">
        <v>-247.04</v>
      </c>
      <c r="C26" s="74">
        <v>-54.268999999999998</v>
      </c>
      <c r="D26" s="74">
        <v>-198.298</v>
      </c>
      <c r="E26" s="74">
        <v>898</v>
      </c>
    </row>
    <row r="27" spans="1:5" x14ac:dyDescent="0.25">
      <c r="A27" s="75">
        <v>650</v>
      </c>
      <c r="B27" s="76">
        <v>-247.21799999999999</v>
      </c>
      <c r="C27" s="76">
        <v>-54.463999999999999</v>
      </c>
      <c r="D27" s="76">
        <v>-196.93899999999999</v>
      </c>
      <c r="E27" s="76">
        <v>923</v>
      </c>
    </row>
    <row r="28" spans="1:5" x14ac:dyDescent="0.25">
      <c r="A28" s="73">
        <v>675</v>
      </c>
      <c r="B28" s="74">
        <v>-247.392</v>
      </c>
      <c r="C28" s="74">
        <v>-54.651000000000003</v>
      </c>
      <c r="D28" s="74">
        <v>-195.57499999999999</v>
      </c>
      <c r="E28" s="74">
        <v>948</v>
      </c>
    </row>
    <row r="29" spans="1:5" x14ac:dyDescent="0.25">
      <c r="A29" s="75">
        <v>700</v>
      </c>
      <c r="B29" s="76">
        <v>-247.56200000000001</v>
      </c>
      <c r="C29" s="76">
        <v>-54.828000000000003</v>
      </c>
      <c r="D29" s="76">
        <v>-194.20599999999999</v>
      </c>
      <c r="E29" s="76">
        <v>973</v>
      </c>
    </row>
    <row r="30" spans="1:5" x14ac:dyDescent="0.25">
      <c r="A30" s="73">
        <v>725</v>
      </c>
      <c r="B30" s="74">
        <v>-247.72800000000001</v>
      </c>
      <c r="C30" s="74">
        <v>-54.996000000000002</v>
      </c>
      <c r="D30" s="74">
        <v>-192.834</v>
      </c>
      <c r="E30" s="74">
        <v>998</v>
      </c>
    </row>
    <row r="31" spans="1:5" x14ac:dyDescent="0.25">
      <c r="A31" s="75">
        <v>750</v>
      </c>
      <c r="B31" s="76">
        <v>-247.89</v>
      </c>
      <c r="C31" s="76">
        <v>-55.156999999999996</v>
      </c>
      <c r="D31" s="76">
        <v>-191.45699999999999</v>
      </c>
      <c r="E31" s="76">
        <v>1023</v>
      </c>
    </row>
    <row r="32" spans="1:5" x14ac:dyDescent="0.25">
      <c r="A32" s="73">
        <v>775</v>
      </c>
      <c r="B32" s="74">
        <v>-248.048</v>
      </c>
      <c r="C32" s="74">
        <v>-55.308999999999997</v>
      </c>
      <c r="D32" s="74">
        <v>-190.07599999999999</v>
      </c>
      <c r="E32" s="74">
        <v>1048</v>
      </c>
    </row>
    <row r="33" spans="1:5" x14ac:dyDescent="0.25">
      <c r="A33" s="75">
        <v>800</v>
      </c>
      <c r="B33" s="76">
        <v>-248.20099999999999</v>
      </c>
      <c r="C33" s="76">
        <v>-55.453000000000003</v>
      </c>
      <c r="D33" s="76">
        <v>-188.691</v>
      </c>
      <c r="E33" s="76">
        <v>1073</v>
      </c>
    </row>
    <row r="34" spans="1:5" x14ac:dyDescent="0.25">
      <c r="A34" s="73">
        <v>825</v>
      </c>
      <c r="B34" s="74">
        <v>-248.34899999999999</v>
      </c>
      <c r="C34" s="74">
        <v>-55.59</v>
      </c>
      <c r="D34" s="74">
        <v>-187.303</v>
      </c>
      <c r="E34" s="74">
        <v>1098</v>
      </c>
    </row>
    <row r="35" spans="1:5" x14ac:dyDescent="0.25">
      <c r="A35" s="75">
        <v>850</v>
      </c>
      <c r="B35" s="76">
        <v>-248.49299999999999</v>
      </c>
      <c r="C35" s="76">
        <v>-55.72</v>
      </c>
      <c r="D35" s="76">
        <v>-185.91200000000001</v>
      </c>
      <c r="E35" s="76">
        <v>1123</v>
      </c>
    </row>
    <row r="36" spans="1:5" x14ac:dyDescent="0.25">
      <c r="A36" s="73">
        <v>875</v>
      </c>
      <c r="B36" s="74">
        <v>-248.63200000000001</v>
      </c>
      <c r="C36" s="74">
        <v>-55.841999999999999</v>
      </c>
      <c r="D36" s="74">
        <v>-184.517</v>
      </c>
      <c r="E36" s="74">
        <v>1148</v>
      </c>
    </row>
    <row r="37" spans="1:5" x14ac:dyDescent="0.25">
      <c r="A37" s="75">
        <v>900</v>
      </c>
      <c r="B37" s="76">
        <v>-248.767</v>
      </c>
      <c r="C37" s="76">
        <v>-55.957999999999998</v>
      </c>
      <c r="D37" s="76">
        <v>-183.12</v>
      </c>
      <c r="E37" s="76">
        <v>1173</v>
      </c>
    </row>
    <row r="38" spans="1:5" x14ac:dyDescent="0.25">
      <c r="A38" s="73">
        <v>925</v>
      </c>
      <c r="B38" s="74">
        <v>-248.89599999999999</v>
      </c>
      <c r="C38" s="74">
        <v>-56.067</v>
      </c>
      <c r="D38" s="74">
        <v>-181.72</v>
      </c>
      <c r="E38" s="74">
        <v>1198</v>
      </c>
    </row>
    <row r="39" spans="1:5" x14ac:dyDescent="0.25">
      <c r="A39" s="75">
        <v>950</v>
      </c>
      <c r="B39" s="76">
        <v>-249.02099999999999</v>
      </c>
      <c r="C39" s="76">
        <v>-56.17</v>
      </c>
      <c r="D39" s="76">
        <v>-180.31700000000001</v>
      </c>
      <c r="E39" s="76">
        <v>1223</v>
      </c>
    </row>
    <row r="40" spans="1:5" x14ac:dyDescent="0.25">
      <c r="A40" s="73">
        <v>975</v>
      </c>
      <c r="B40" s="74">
        <v>-249.142</v>
      </c>
      <c r="C40" s="74">
        <v>-56.268000000000001</v>
      </c>
      <c r="D40" s="74">
        <v>-178.911</v>
      </c>
      <c r="E40" s="74">
        <v>1248</v>
      </c>
    </row>
    <row r="41" spans="1:5" x14ac:dyDescent="0.25">
      <c r="A41" s="80">
        <v>1000</v>
      </c>
      <c r="B41" s="81">
        <v>-249.25899999999999</v>
      </c>
      <c r="C41" s="81">
        <v>-56.360999999999997</v>
      </c>
      <c r="D41" s="81">
        <v>-177.50299999999999</v>
      </c>
      <c r="E41" s="81">
        <v>1273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71D2-FD03-4E97-9490-2AB72E0AB4C3}">
  <sheetPr>
    <tabColor theme="7" tint="0.79998168889431442"/>
  </sheetPr>
  <dimension ref="A1:F81"/>
  <sheetViews>
    <sheetView topLeftCell="A54" workbookViewId="0">
      <selection activeCell="B56" sqref="B56"/>
    </sheetView>
  </sheetViews>
  <sheetFormatPr defaultColWidth="8.85546875" defaultRowHeight="15" x14ac:dyDescent="0.25"/>
  <cols>
    <col min="1" max="1" width="29" customWidth="1"/>
  </cols>
  <sheetData>
    <row r="1" spans="1:3" x14ac:dyDescent="0.25">
      <c r="A1" t="s">
        <v>211</v>
      </c>
    </row>
    <row r="3" spans="1:3" x14ac:dyDescent="0.25">
      <c r="A3" t="s">
        <v>212</v>
      </c>
    </row>
    <row r="5" spans="1:3" x14ac:dyDescent="0.25">
      <c r="A5" t="s">
        <v>213</v>
      </c>
      <c r="B5">
        <f>'Cross-layer'!B4+'Cross-layer'!B6</f>
        <v>11</v>
      </c>
      <c r="C5" t="s">
        <v>7</v>
      </c>
    </row>
    <row r="6" spans="1:3" x14ac:dyDescent="0.25">
      <c r="A6" t="s">
        <v>214</v>
      </c>
      <c r="B6">
        <f>'Cross-layer'!B5+'Cross-layer'!B6</f>
        <v>9</v>
      </c>
      <c r="C6" t="s">
        <v>7</v>
      </c>
    </row>
    <row r="7" spans="1:3" x14ac:dyDescent="0.25">
      <c r="A7" t="s">
        <v>215</v>
      </c>
      <c r="B7">
        <f>'Cross-layer'!B6</f>
        <v>1</v>
      </c>
    </row>
    <row r="8" spans="1:3" x14ac:dyDescent="0.25">
      <c r="A8" t="s">
        <v>216</v>
      </c>
      <c r="B8">
        <f>'Cross-layer'!B7</f>
        <v>1.2</v>
      </c>
      <c r="C8" t="s">
        <v>7</v>
      </c>
    </row>
    <row r="10" spans="1:3" x14ac:dyDescent="0.25">
      <c r="A10" t="s">
        <v>217</v>
      </c>
    </row>
    <row r="12" spans="1:3" x14ac:dyDescent="0.25">
      <c r="A12" t="s">
        <v>218</v>
      </c>
      <c r="B12">
        <f>'Cross-layer'!B22</f>
        <v>12.2</v>
      </c>
      <c r="C12" t="s">
        <v>7</v>
      </c>
    </row>
    <row r="13" spans="1:3" x14ac:dyDescent="0.25">
      <c r="A13" t="s">
        <v>219</v>
      </c>
      <c r="B13">
        <f>'Cross-layer'!B23</f>
        <v>10.199999999999999</v>
      </c>
      <c r="C13" t="s">
        <v>7</v>
      </c>
    </row>
    <row r="15" spans="1:3" x14ac:dyDescent="0.25">
      <c r="A15" t="s">
        <v>220</v>
      </c>
    </row>
    <row r="17" spans="1:3" x14ac:dyDescent="0.25">
      <c r="A17" t="s">
        <v>221</v>
      </c>
    </row>
    <row r="19" spans="1:3" x14ac:dyDescent="0.25">
      <c r="A19" t="s">
        <v>222</v>
      </c>
      <c r="B19">
        <f>0.4/2</f>
        <v>0.2</v>
      </c>
      <c r="C19" t="s">
        <v>7</v>
      </c>
    </row>
    <row r="20" spans="1:3" x14ac:dyDescent="0.25">
      <c r="A20" t="s">
        <v>223</v>
      </c>
      <c r="B20" s="11">
        <f>PI()*B19^2</f>
        <v>0.12566370614359174</v>
      </c>
      <c r="C20" t="s">
        <v>81</v>
      </c>
    </row>
    <row r="21" spans="1:3" x14ac:dyDescent="0.25">
      <c r="A21" t="s">
        <v>224</v>
      </c>
      <c r="B21" s="11">
        <v>1.2</v>
      </c>
      <c r="C21" t="s">
        <v>7</v>
      </c>
    </row>
    <row r="22" spans="1:3" x14ac:dyDescent="0.25">
      <c r="A22" t="s">
        <v>225</v>
      </c>
      <c r="B22" s="5">
        <f>B8/B21</f>
        <v>1</v>
      </c>
    </row>
    <row r="23" spans="1:3" x14ac:dyDescent="0.25">
      <c r="A23" t="s">
        <v>226</v>
      </c>
      <c r="B23" s="11">
        <f>B20*B22</f>
        <v>0.12566370614359174</v>
      </c>
      <c r="C23" t="s">
        <v>81</v>
      </c>
    </row>
    <row r="24" spans="1:3" x14ac:dyDescent="0.25">
      <c r="A24" t="s">
        <v>227</v>
      </c>
      <c r="B24" s="11">
        <f>SQRT(B23/PI())</f>
        <v>0.2</v>
      </c>
      <c r="C24" t="s">
        <v>7</v>
      </c>
    </row>
    <row r="26" spans="1:3" x14ac:dyDescent="0.25">
      <c r="A26" t="s">
        <v>228</v>
      </c>
      <c r="B26">
        <v>14</v>
      </c>
    </row>
    <row r="27" spans="1:3" x14ac:dyDescent="0.25">
      <c r="A27" t="s">
        <v>229</v>
      </c>
      <c r="B27">
        <v>11</v>
      </c>
      <c r="C27" t="s">
        <v>7</v>
      </c>
    </row>
    <row r="28" spans="1:3" x14ac:dyDescent="0.25">
      <c r="A28" t="s">
        <v>230</v>
      </c>
      <c r="B28">
        <f>B5/B27</f>
        <v>1</v>
      </c>
    </row>
    <row r="29" spans="1:3" x14ac:dyDescent="0.25">
      <c r="A29" t="s">
        <v>231</v>
      </c>
      <c r="B29" s="19">
        <f>INT(B26*B28)</f>
        <v>14</v>
      </c>
    </row>
    <row r="32" spans="1:3" x14ac:dyDescent="0.25">
      <c r="A32" t="s">
        <v>232</v>
      </c>
      <c r="B32" s="11">
        <f>B23*B29*2</f>
        <v>3.5185837720205688</v>
      </c>
      <c r="C32" t="s">
        <v>81</v>
      </c>
    </row>
    <row r="34" spans="1:4" x14ac:dyDescent="0.25">
      <c r="A34" t="s">
        <v>233</v>
      </c>
      <c r="B34" s="19">
        <f>B12*B13-B32</f>
        <v>120.92141622797942</v>
      </c>
      <c r="C34" t="s">
        <v>81</v>
      </c>
    </row>
    <row r="35" spans="1:4" x14ac:dyDescent="0.25">
      <c r="A35" t="s">
        <v>234</v>
      </c>
      <c r="B35" s="16">
        <f>B34/(B13*B12)</f>
        <v>0.97172465628398774</v>
      </c>
    </row>
    <row r="37" spans="1:4" x14ac:dyDescent="0.25">
      <c r="A37" t="s">
        <v>133</v>
      </c>
      <c r="B37" t="s">
        <v>235</v>
      </c>
    </row>
    <row r="39" spans="1:4" x14ac:dyDescent="0.25">
      <c r="A39" t="s">
        <v>236</v>
      </c>
      <c r="B39" s="19">
        <f>B12*B13</f>
        <v>124.43999999999998</v>
      </c>
      <c r="C39" t="s">
        <v>81</v>
      </c>
    </row>
    <row r="40" spans="1:4" x14ac:dyDescent="0.25">
      <c r="A40" t="s">
        <v>237</v>
      </c>
      <c r="B40" s="19">
        <f>B6*B5</f>
        <v>99</v>
      </c>
      <c r="C40" t="s">
        <v>81</v>
      </c>
    </row>
    <row r="41" spans="1:4" x14ac:dyDescent="0.25">
      <c r="B41" s="19"/>
    </row>
    <row r="42" spans="1:4" x14ac:dyDescent="0.25">
      <c r="A42" t="s">
        <v>238</v>
      </c>
      <c r="B42" s="19">
        <f>B39-B40-B32</f>
        <v>21.921416227979414</v>
      </c>
      <c r="C42" t="s">
        <v>81</v>
      </c>
      <c r="D42" t="s">
        <v>239</v>
      </c>
    </row>
    <row r="43" spans="1:4" s="20" customFormat="1" x14ac:dyDescent="0.25">
      <c r="A43" s="20" t="s">
        <v>240</v>
      </c>
      <c r="B43" s="21">
        <f>B42/B39</f>
        <v>0.17616052899372722</v>
      </c>
    </row>
    <row r="45" spans="1:4" x14ac:dyDescent="0.25">
      <c r="A45" t="s">
        <v>241</v>
      </c>
      <c r="B45" t="s">
        <v>242</v>
      </c>
    </row>
    <row r="47" spans="1:4" x14ac:dyDescent="0.25">
      <c r="A47" t="s">
        <v>243</v>
      </c>
      <c r="B47">
        <v>128</v>
      </c>
      <c r="C47" t="s">
        <v>81</v>
      </c>
    </row>
    <row r="48" spans="1:4" x14ac:dyDescent="0.25">
      <c r="A48" t="s">
        <v>244</v>
      </c>
      <c r="B48">
        <v>60</v>
      </c>
    </row>
    <row r="49" spans="1:6" x14ac:dyDescent="0.25">
      <c r="A49" t="s">
        <v>245</v>
      </c>
      <c r="B49">
        <v>3.02</v>
      </c>
      <c r="F49" s="11"/>
    </row>
    <row r="50" spans="1:6" x14ac:dyDescent="0.25">
      <c r="A50" t="s">
        <v>246</v>
      </c>
      <c r="B50">
        <f>B49*B48</f>
        <v>181.2</v>
      </c>
    </row>
    <row r="51" spans="1:6" x14ac:dyDescent="0.25">
      <c r="A51" t="s">
        <v>247</v>
      </c>
      <c r="B51">
        <v>2.2000000000000002</v>
      </c>
      <c r="C51" t="s">
        <v>248</v>
      </c>
    </row>
    <row r="52" spans="1:6" x14ac:dyDescent="0.25">
      <c r="A52" t="s">
        <v>249</v>
      </c>
      <c r="B52" s="11">
        <f>B51/B50</f>
        <v>1.2141280353200884E-2</v>
      </c>
      <c r="C52" t="s">
        <v>248</v>
      </c>
    </row>
    <row r="53" spans="1:6" x14ac:dyDescent="0.25">
      <c r="B53" s="11">
        <f>B52*1000</f>
        <v>12.141280353200884</v>
      </c>
      <c r="C53" t="s">
        <v>250</v>
      </c>
    </row>
    <row r="55" spans="1:6" ht="15.75" x14ac:dyDescent="0.25">
      <c r="A55" t="s">
        <v>251</v>
      </c>
      <c r="B55">
        <v>700</v>
      </c>
      <c r="C55" s="13" t="s">
        <v>86</v>
      </c>
      <c r="D55" t="s">
        <v>252</v>
      </c>
      <c r="F55" s="58" t="s">
        <v>253</v>
      </c>
    </row>
    <row r="57" spans="1:6" x14ac:dyDescent="0.25">
      <c r="A57" t="s">
        <v>254</v>
      </c>
    </row>
    <row r="58" spans="1:6" ht="15.75" x14ac:dyDescent="0.25">
      <c r="A58" t="s">
        <v>6</v>
      </c>
      <c r="B58">
        <v>180</v>
      </c>
      <c r="C58" s="13" t="s">
        <v>255</v>
      </c>
    </row>
    <row r="59" spans="1:6" ht="15.75" x14ac:dyDescent="0.25">
      <c r="A59" t="s">
        <v>8</v>
      </c>
      <c r="B59">
        <v>138</v>
      </c>
      <c r="C59" s="13" t="s">
        <v>255</v>
      </c>
    </row>
    <row r="61" spans="1:6" x14ac:dyDescent="0.25">
      <c r="A61" t="s">
        <v>104</v>
      </c>
      <c r="B61">
        <f>B58/10*B59/10</f>
        <v>248.4</v>
      </c>
      <c r="C61" t="s">
        <v>81</v>
      </c>
    </row>
    <row r="62" spans="1:6" x14ac:dyDescent="0.25">
      <c r="A62" t="s">
        <v>256</v>
      </c>
      <c r="B62">
        <f>B61-B47</f>
        <v>120.4</v>
      </c>
      <c r="C62" t="s">
        <v>81</v>
      </c>
    </row>
    <row r="64" spans="1:6" x14ac:dyDescent="0.25">
      <c r="A64" t="s">
        <v>257</v>
      </c>
      <c r="B64" s="11">
        <f>B55/10000*B62</f>
        <v>8.4280000000000008</v>
      </c>
      <c r="C64" t="s">
        <v>258</v>
      </c>
    </row>
    <row r="65" spans="1:4" x14ac:dyDescent="0.25">
      <c r="A65" t="s">
        <v>259</v>
      </c>
      <c r="B65" s="11">
        <f>B53/B64</f>
        <v>1.4405885563835883</v>
      </c>
      <c r="C65" t="s">
        <v>260</v>
      </c>
    </row>
    <row r="67" spans="1:4" x14ac:dyDescent="0.25">
      <c r="A67" s="1" t="s">
        <v>261</v>
      </c>
    </row>
    <row r="68" spans="1:4" x14ac:dyDescent="0.25">
      <c r="A68" t="s">
        <v>262</v>
      </c>
      <c r="B68">
        <f>B55</f>
        <v>700</v>
      </c>
      <c r="C68" t="s">
        <v>15</v>
      </c>
      <c r="D68" t="s">
        <v>263</v>
      </c>
    </row>
    <row r="70" spans="1:4" ht="15.75" x14ac:dyDescent="0.25">
      <c r="A70" t="s">
        <v>264</v>
      </c>
      <c r="B70" s="19">
        <f>'Cross-layer'!B26-'Cross-layer'!B24</f>
        <v>44.439999999999984</v>
      </c>
      <c r="C70" s="13" t="s">
        <v>81</v>
      </c>
    </row>
    <row r="72" spans="1:4" x14ac:dyDescent="0.25">
      <c r="A72" t="s">
        <v>265</v>
      </c>
      <c r="B72" t="s">
        <v>266</v>
      </c>
    </row>
    <row r="73" spans="1:4" x14ac:dyDescent="0.25">
      <c r="A73" t="s">
        <v>267</v>
      </c>
      <c r="B73">
        <v>1.37</v>
      </c>
      <c r="C73" t="s">
        <v>248</v>
      </c>
    </row>
    <row r="74" spans="1:4" x14ac:dyDescent="0.25">
      <c r="A74" t="s">
        <v>268</v>
      </c>
      <c r="B74" s="3">
        <f>B73/B50</f>
        <v>7.5607064017660054E-3</v>
      </c>
      <c r="C74" t="s">
        <v>269</v>
      </c>
    </row>
    <row r="75" spans="1:4" x14ac:dyDescent="0.25">
      <c r="B75" s="3">
        <f>B74*1000</f>
        <v>7.5607064017660051</v>
      </c>
      <c r="C75" t="s">
        <v>270</v>
      </c>
    </row>
    <row r="77" spans="1:4" x14ac:dyDescent="0.25">
      <c r="A77" t="s">
        <v>271</v>
      </c>
      <c r="B77">
        <v>100</v>
      </c>
      <c r="C77" t="s">
        <v>15</v>
      </c>
    </row>
    <row r="78" spans="1:4" x14ac:dyDescent="0.25">
      <c r="A78" t="s">
        <v>272</v>
      </c>
      <c r="B78">
        <f>'Manufacturing inputs'!B40</f>
        <v>153</v>
      </c>
      <c r="C78" t="s">
        <v>81</v>
      </c>
    </row>
    <row r="79" spans="1:4" x14ac:dyDescent="0.25">
      <c r="A79" t="s">
        <v>273</v>
      </c>
      <c r="B79">
        <f>B77/10000*B78</f>
        <v>1.53</v>
      </c>
      <c r="C79" t="s">
        <v>258</v>
      </c>
    </row>
    <row r="81" spans="1:3" x14ac:dyDescent="0.25">
      <c r="A81" t="s">
        <v>199</v>
      </c>
      <c r="B81" s="11">
        <f>B75/B79</f>
        <v>4.9416381710888917</v>
      </c>
      <c r="C81" t="s">
        <v>260</v>
      </c>
    </row>
  </sheetData>
  <hyperlinks>
    <hyperlink ref="F55" r:id="rId1" xr:uid="{7F65B3CF-8662-4A3A-A08A-1D2E0CB061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Manufacturing results</vt:lpstr>
      <vt:lpstr>Performance</vt:lpstr>
      <vt:lpstr>Cross-layer</vt:lpstr>
      <vt:lpstr>Manufacturing inputs</vt:lpstr>
      <vt:lpstr>Cell</vt:lpstr>
      <vt:lpstr>Frame</vt:lpstr>
      <vt:lpstr>Misc</vt:lpstr>
      <vt:lpstr>Manufacturing calc</vt:lpstr>
      <vt:lpstr>Materials</vt:lpstr>
      <vt:lpstr>LHV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Frederik Skovgaard Naur</dc:creator>
  <cp:keywords/>
  <dc:description/>
  <cp:lastModifiedBy>Frederik Skovgaard Naur</cp:lastModifiedBy>
  <cp:revision/>
  <dcterms:created xsi:type="dcterms:W3CDTF">2025-07-01T07:40:19Z</dcterms:created>
  <dcterms:modified xsi:type="dcterms:W3CDTF">2026-10-18T19:03:11Z</dcterms:modified>
  <cp:category/>
  <cp:contentStatus/>
</cp:coreProperties>
</file>