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fskna_dtu_dk/Documents/Papers DTU Energy/Files/"/>
    </mc:Choice>
  </mc:AlternateContent>
  <xr:revisionPtr revIDLastSave="255" documentId="13_ncr:1_{3CB7FDD8-B938-4D85-8EE8-F2381D59A6EC}" xr6:coauthVersionLast="47" xr6:coauthVersionMax="47" xr10:uidLastSave="{3BB81B9B-2BAC-4C03-9789-10E281B8566D}"/>
  <bookViews>
    <workbookView xWindow="-120" yWindow="-120" windowWidth="38640" windowHeight="21120" xr2:uid="{6B800C1E-3020-450D-98CF-85AAE588E4EC}"/>
  </bookViews>
  <sheets>
    <sheet name="Results" sheetId="8" r:id="rId1"/>
    <sheet name="Manufacturing inputs" sheetId="9" r:id="rId2"/>
    <sheet name="Cross-layer" sheetId="1" r:id="rId3"/>
    <sheet name="Cell" sheetId="2" r:id="rId4"/>
    <sheet name="Frame" sheetId="3" r:id="rId5"/>
    <sheet name="Misc" sheetId="6" r:id="rId6"/>
    <sheet name="Manufacturing calc" sheetId="10" r:id="rId7"/>
    <sheet name="Materials" sheetId="7" r:id="rId8"/>
    <sheet name="Calculations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L6" i="2"/>
  <c r="L7" i="2"/>
  <c r="L8" i="2"/>
  <c r="L9" i="2"/>
  <c r="L10" i="2"/>
  <c r="L11" i="2"/>
  <c r="L3" i="2"/>
  <c r="B68" i="5"/>
  <c r="B38" i="9"/>
  <c r="B78" i="5" s="1"/>
  <c r="B79" i="5" s="1"/>
  <c r="B39" i="9"/>
  <c r="J2" i="8"/>
  <c r="B22" i="1"/>
  <c r="B25" i="1"/>
  <c r="B38" i="1"/>
  <c r="K29" i="10" a="1"/>
  <c r="L29" i="10" s="1"/>
  <c r="K28" i="10" a="1"/>
  <c r="L28" i="10" s="1"/>
  <c r="K21" i="10" a="1"/>
  <c r="K20" i="10" a="1"/>
  <c r="K18" i="10" a="1"/>
  <c r="K15" i="10" a="1"/>
  <c r="K10" i="10" a="1"/>
  <c r="K7" i="10" a="1"/>
  <c r="L7" i="10" s="1"/>
  <c r="K4" i="10" a="1"/>
  <c r="E26" i="10"/>
  <c r="E25" i="10"/>
  <c r="L24" i="10"/>
  <c r="F18" i="10"/>
  <c r="L16" i="10"/>
  <c r="E6" i="10"/>
  <c r="B4" i="9"/>
  <c r="B42" i="9"/>
  <c r="B37" i="9"/>
  <c r="B27" i="9"/>
  <c r="B18" i="9" s="1"/>
  <c r="B25" i="9"/>
  <c r="B24" i="9"/>
  <c r="I5" i="9"/>
  <c r="I4" i="9"/>
  <c r="I3" i="9"/>
  <c r="I2" i="9"/>
  <c r="B2" i="9"/>
  <c r="E8" i="3"/>
  <c r="E7" i="3"/>
  <c r="C4" i="2"/>
  <c r="C5" i="2"/>
  <c r="C6" i="2"/>
  <c r="C7" i="2"/>
  <c r="C8" i="2"/>
  <c r="C9" i="2"/>
  <c r="C10" i="2"/>
  <c r="C11" i="2"/>
  <c r="C5" i="6"/>
  <c r="G4" i="6"/>
  <c r="G3" i="6"/>
  <c r="B61" i="5"/>
  <c r="B62" i="5" s="1"/>
  <c r="B64" i="5"/>
  <c r="B50" i="5"/>
  <c r="B40" i="9" l="1"/>
  <c r="B41" i="9"/>
  <c r="B52" i="5"/>
  <c r="B53" i="5" s="1"/>
  <c r="B65" i="5" s="1"/>
  <c r="H3" i="6" s="1"/>
  <c r="B74" i="5"/>
  <c r="B75" i="5" s="1"/>
  <c r="B81" i="5"/>
  <c r="H4" i="6" s="1"/>
  <c r="I4" i="6" s="1"/>
  <c r="J4" i="6" s="1"/>
  <c r="N25" i="10"/>
  <c r="N22" i="10"/>
  <c r="N21" i="10"/>
  <c r="N18" i="10"/>
  <c r="N14" i="10"/>
  <c r="N13" i="10"/>
  <c r="N11" i="10"/>
  <c r="N2" i="10"/>
  <c r="L20" i="10"/>
  <c r="L4" i="10"/>
  <c r="M4" i="10" s="1"/>
  <c r="S4" i="10" s="1"/>
  <c r="L15" i="10"/>
  <c r="M15" i="10"/>
  <c r="S15" i="10" s="1"/>
  <c r="M29" i="10"/>
  <c r="S29" i="10" s="1"/>
  <c r="L10" i="10"/>
  <c r="M7" i="10"/>
  <c r="S7" i="10" s="1"/>
  <c r="M28" i="10"/>
  <c r="S28" i="10" s="1"/>
  <c r="L18" i="10"/>
  <c r="M18" i="10" s="1"/>
  <c r="S18" i="10" s="1"/>
  <c r="M24" i="10"/>
  <c r="S24" i="10" s="1"/>
  <c r="L21" i="10"/>
  <c r="M16" i="10"/>
  <c r="S16" i="10" s="1"/>
  <c r="D3" i="6"/>
  <c r="I3" i="6" s="1"/>
  <c r="J3" i="6" s="1"/>
  <c r="P21" i="10" l="1"/>
  <c r="Q21" i="10" s="1"/>
  <c r="O21" i="10"/>
  <c r="R21" i="10" s="1"/>
  <c r="O18" i="10"/>
  <c r="R18" i="10" s="1"/>
  <c r="P18" i="10"/>
  <c r="Q18" i="10" s="1"/>
  <c r="M10" i="10"/>
  <c r="S10" i="10" s="1"/>
  <c r="M21" i="10"/>
  <c r="S21" i="10" s="1"/>
  <c r="M20" i="10"/>
  <c r="S20" i="10" s="1"/>
  <c r="E3" i="3"/>
  <c r="B4" i="3"/>
  <c r="D4" i="3" s="1"/>
  <c r="B5" i="3"/>
  <c r="D5" i="3" s="1"/>
  <c r="B6" i="3"/>
  <c r="D6" i="3" s="1"/>
  <c r="B7" i="3"/>
  <c r="D7" i="3" s="1"/>
  <c r="B8" i="3"/>
  <c r="D8" i="3" s="1"/>
  <c r="B9" i="3"/>
  <c r="D9" i="3" s="1"/>
  <c r="B3" i="3"/>
  <c r="C7" i="3"/>
  <c r="R2" i="3"/>
  <c r="G4" i="2"/>
  <c r="G6" i="2"/>
  <c r="G7" i="2"/>
  <c r="G8" i="2"/>
  <c r="G9" i="2"/>
  <c r="G10" i="2"/>
  <c r="G11" i="2"/>
  <c r="G3" i="2"/>
  <c r="H6" i="2"/>
  <c r="I6" i="2" s="1"/>
  <c r="J6" i="2" s="1"/>
  <c r="H7" i="2"/>
  <c r="I7" i="2" s="1"/>
  <c r="J7" i="2" s="1"/>
  <c r="H8" i="2"/>
  <c r="C13" i="7"/>
  <c r="H11" i="2" s="1"/>
  <c r="B13" i="7"/>
  <c r="C12" i="7"/>
  <c r="B12" i="7"/>
  <c r="C11" i="7"/>
  <c r="H4" i="2" s="1"/>
  <c r="I4" i="2" s="1"/>
  <c r="B11" i="7"/>
  <c r="H3" i="2"/>
  <c r="I3" i="2" s="1"/>
  <c r="C3" i="2"/>
  <c r="B27" i="1"/>
  <c r="B3" i="9" s="1"/>
  <c r="B26" i="1"/>
  <c r="B24" i="1"/>
  <c r="B23" i="1"/>
  <c r="B12" i="5"/>
  <c r="B8" i="5"/>
  <c r="B7" i="5"/>
  <c r="B6" i="5"/>
  <c r="B5" i="5"/>
  <c r="B19" i="5"/>
  <c r="B20" i="5" s="1"/>
  <c r="B22" i="5"/>
  <c r="D3" i="3" l="1"/>
  <c r="I3" i="3"/>
  <c r="J3" i="3" s="1"/>
  <c r="J5" i="9"/>
  <c r="B5" i="9"/>
  <c r="K5" i="6"/>
  <c r="L5" i="6" s="1"/>
  <c r="K4" i="2"/>
  <c r="K3" i="2"/>
  <c r="M5" i="8"/>
  <c r="M4" i="8"/>
  <c r="M6" i="8"/>
  <c r="M7" i="8"/>
  <c r="M8" i="8"/>
  <c r="B28" i="5"/>
  <c r="B29" i="5" s="1"/>
  <c r="B32" i="5" s="1"/>
  <c r="B34" i="5" s="1"/>
  <c r="B35" i="5" s="1"/>
  <c r="B13" i="1" s="1"/>
  <c r="G4" i="3" s="1"/>
  <c r="H4" i="3" s="1"/>
  <c r="B13" i="5"/>
  <c r="B40" i="5"/>
  <c r="K4" i="6"/>
  <c r="B17" i="9"/>
  <c r="L4" i="3"/>
  <c r="B70" i="5"/>
  <c r="K3" i="6" s="1"/>
  <c r="J3" i="2"/>
  <c r="B14" i="8" s="1"/>
  <c r="C14" i="8" s="1"/>
  <c r="M3" i="2"/>
  <c r="I9" i="3"/>
  <c r="I8" i="3"/>
  <c r="I7" i="3"/>
  <c r="I6" i="3"/>
  <c r="I5" i="3"/>
  <c r="I4" i="3"/>
  <c r="L6" i="3"/>
  <c r="K10" i="2"/>
  <c r="K9" i="2"/>
  <c r="K11" i="2"/>
  <c r="L5" i="3"/>
  <c r="K8" i="2"/>
  <c r="K7" i="2"/>
  <c r="L3" i="3"/>
  <c r="L9" i="3"/>
  <c r="L8" i="3"/>
  <c r="C30" i="8"/>
  <c r="B30" i="8"/>
  <c r="K6" i="2"/>
  <c r="L7" i="3"/>
  <c r="C6" i="3"/>
  <c r="E6" i="3" s="1"/>
  <c r="C5" i="3"/>
  <c r="E5" i="3" s="1"/>
  <c r="C4" i="3"/>
  <c r="E4" i="3" s="1"/>
  <c r="I11" i="2"/>
  <c r="I8" i="2"/>
  <c r="J8" i="2" s="1"/>
  <c r="J11" i="2"/>
  <c r="M4" i="2"/>
  <c r="J4" i="2"/>
  <c r="C9" i="3"/>
  <c r="E9" i="3" s="1"/>
  <c r="J9" i="3" s="1"/>
  <c r="H9" i="2"/>
  <c r="I9" i="2" s="1"/>
  <c r="H10" i="2"/>
  <c r="I10" i="2" s="1"/>
  <c r="B23" i="5"/>
  <c r="B24" i="5"/>
  <c r="B39" i="5"/>
  <c r="K12" i="10" l="1"/>
  <c r="K11" i="10"/>
  <c r="V10" i="10"/>
  <c r="U18" i="10"/>
  <c r="U21" i="10"/>
  <c r="V20" i="10"/>
  <c r="V21" i="10"/>
  <c r="V4" i="10"/>
  <c r="V16" i="10"/>
  <c r="V24" i="10"/>
  <c r="V15" i="10"/>
  <c r="C34" i="8" s="1"/>
  <c r="V29" i="10"/>
  <c r="V7" i="10"/>
  <c r="V18" i="10"/>
  <c r="V28" i="10"/>
  <c r="C37" i="8" s="1"/>
  <c r="B7" i="9"/>
  <c r="B8" i="9" s="1"/>
  <c r="B14" i="9"/>
  <c r="B20" i="9"/>
  <c r="M11" i="2"/>
  <c r="M4" i="6"/>
  <c r="L4" i="6"/>
  <c r="B26" i="9"/>
  <c r="B19" i="9" s="1"/>
  <c r="N24" i="10"/>
  <c r="N23" i="10"/>
  <c r="N20" i="10"/>
  <c r="N17" i="10"/>
  <c r="N16" i="10"/>
  <c r="N29" i="10"/>
  <c r="N28" i="10"/>
  <c r="N27" i="10"/>
  <c r="N26" i="10"/>
  <c r="N19" i="10"/>
  <c r="N15" i="10"/>
  <c r="N12" i="10"/>
  <c r="N9" i="10"/>
  <c r="N8" i="10"/>
  <c r="N7" i="10"/>
  <c r="N6" i="10"/>
  <c r="N5" i="10"/>
  <c r="N3" i="10"/>
  <c r="M8" i="2"/>
  <c r="J7" i="3"/>
  <c r="N7" i="3" s="1"/>
  <c r="J8" i="3"/>
  <c r="N8" i="3" s="1"/>
  <c r="J4" i="3"/>
  <c r="J5" i="3"/>
  <c r="N5" i="3" s="1"/>
  <c r="M3" i="6"/>
  <c r="L3" i="6"/>
  <c r="N3" i="3"/>
  <c r="M7" i="2"/>
  <c r="B17" i="8"/>
  <c r="C17" i="8" s="1"/>
  <c r="G9" i="3"/>
  <c r="H9" i="3" s="1"/>
  <c r="K9" i="3" s="1"/>
  <c r="M9" i="3" s="1"/>
  <c r="B25" i="8" s="1"/>
  <c r="C25" i="8" s="1"/>
  <c r="G5" i="3"/>
  <c r="H5" i="3" s="1"/>
  <c r="G3" i="3"/>
  <c r="H3" i="3" s="1"/>
  <c r="K3" i="3" s="1"/>
  <c r="M3" i="3" s="1"/>
  <c r="M6" i="2"/>
  <c r="J6" i="3"/>
  <c r="N9" i="3"/>
  <c r="M10" i="2"/>
  <c r="J10" i="2"/>
  <c r="J9" i="2"/>
  <c r="M9" i="2"/>
  <c r="B15" i="8"/>
  <c r="C15" i="8" s="1"/>
  <c r="B42" i="5"/>
  <c r="B43" i="5" s="1"/>
  <c r="B12" i="1" s="1"/>
  <c r="L12" i="10" l="1"/>
  <c r="M12" i="10" s="1"/>
  <c r="S12" i="10" s="1"/>
  <c r="V12" i="10" s="1"/>
  <c r="L11" i="10"/>
  <c r="M11" i="10" s="1"/>
  <c r="S11" i="10" s="1"/>
  <c r="V11" i="10" s="1"/>
  <c r="T21" i="10"/>
  <c r="W21" i="10" s="1"/>
  <c r="T18" i="10"/>
  <c r="W18" i="10" s="1"/>
  <c r="J4" i="9"/>
  <c r="J2" i="9"/>
  <c r="J3" i="9"/>
  <c r="N4" i="10"/>
  <c r="N10" i="10"/>
  <c r="F6" i="8"/>
  <c r="K5" i="3"/>
  <c r="M5" i="3" s="1"/>
  <c r="B24" i="8" s="1"/>
  <c r="C24" i="8" s="1"/>
  <c r="C29" i="8"/>
  <c r="B29" i="8"/>
  <c r="K4" i="3"/>
  <c r="M4" i="3" s="1"/>
  <c r="B22" i="8" s="1"/>
  <c r="C22" i="8" s="1"/>
  <c r="N4" i="3"/>
  <c r="B16" i="8"/>
  <c r="C16" i="8" s="1"/>
  <c r="B4" i="8"/>
  <c r="N4" i="8" s="1"/>
  <c r="P16" i="10"/>
  <c r="Q16" i="10" s="1"/>
  <c r="T16" i="10" s="1"/>
  <c r="W16" i="10" s="1"/>
  <c r="O16" i="10"/>
  <c r="R16" i="10" s="1"/>
  <c r="U16" i="10" s="1"/>
  <c r="O20" i="10"/>
  <c r="R20" i="10" s="1"/>
  <c r="U20" i="10" s="1"/>
  <c r="P20" i="10"/>
  <c r="Q20" i="10" s="1"/>
  <c r="T20" i="10" s="1"/>
  <c r="W20" i="10" s="1"/>
  <c r="P24" i="10"/>
  <c r="Q24" i="10" s="1"/>
  <c r="T24" i="10" s="1"/>
  <c r="W24" i="10" s="1"/>
  <c r="O24" i="10"/>
  <c r="R24" i="10" s="1"/>
  <c r="U24" i="10" s="1"/>
  <c r="P7" i="10"/>
  <c r="Q7" i="10" s="1"/>
  <c r="T7" i="10" s="1"/>
  <c r="W7" i="10" s="1"/>
  <c r="O7" i="10"/>
  <c r="R7" i="10" s="1"/>
  <c r="U7" i="10" s="1"/>
  <c r="P12" i="10"/>
  <c r="Q12" i="10" s="1"/>
  <c r="T12" i="10" s="1"/>
  <c r="W12" i="10" s="1"/>
  <c r="O12" i="10"/>
  <c r="R12" i="10" s="1"/>
  <c r="U12" i="10" s="1"/>
  <c r="P15" i="10"/>
  <c r="Q15" i="10" s="1"/>
  <c r="T15" i="10" s="1"/>
  <c r="W15" i="10" s="1"/>
  <c r="D34" i="8" s="1"/>
  <c r="O15" i="10"/>
  <c r="R15" i="10" s="1"/>
  <c r="U15" i="10" s="1"/>
  <c r="B34" i="8" s="1"/>
  <c r="E34" i="8" s="1"/>
  <c r="F34" i="8" s="1"/>
  <c r="P26" i="10"/>
  <c r="Q26" i="10" s="1"/>
  <c r="T26" i="10" s="1"/>
  <c r="W26" i="10" s="1"/>
  <c r="O26" i="10"/>
  <c r="R26" i="10" s="1"/>
  <c r="U26" i="10" s="1"/>
  <c r="O28" i="10"/>
  <c r="R28" i="10" s="1"/>
  <c r="U28" i="10" s="1"/>
  <c r="P28" i="10"/>
  <c r="Q28" i="10" s="1"/>
  <c r="T28" i="10" s="1"/>
  <c r="W28" i="10" s="1"/>
  <c r="P29" i="10"/>
  <c r="Q29" i="10" s="1"/>
  <c r="T29" i="10" s="1"/>
  <c r="W29" i="10" s="1"/>
  <c r="O29" i="10"/>
  <c r="R29" i="10" s="1"/>
  <c r="U29" i="10" s="1"/>
  <c r="B19" i="8"/>
  <c r="C19" i="8" s="1"/>
  <c r="B18" i="8"/>
  <c r="C18" i="8" s="1"/>
  <c r="G8" i="3"/>
  <c r="H8" i="3" s="1"/>
  <c r="K8" i="3" s="1"/>
  <c r="M8" i="3" s="1"/>
  <c r="G6" i="3"/>
  <c r="H6" i="3" s="1"/>
  <c r="G7" i="3"/>
  <c r="H7" i="3" s="1"/>
  <c r="K7" i="3" s="1"/>
  <c r="M7" i="3" s="1"/>
  <c r="D4" i="8"/>
  <c r="B6" i="8"/>
  <c r="N6" i="8" s="1"/>
  <c r="B28" i="8"/>
  <c r="C28" i="8"/>
  <c r="D6" i="8"/>
  <c r="F4" i="8"/>
  <c r="K6" i="3"/>
  <c r="M6" i="3" s="1"/>
  <c r="N6" i="3"/>
  <c r="F5" i="8" s="1"/>
  <c r="P11" i="10" l="1"/>
  <c r="Q11" i="10" s="1"/>
  <c r="T11" i="10" s="1"/>
  <c r="W11" i="10" s="1"/>
  <c r="O11" i="10"/>
  <c r="R11" i="10" s="1"/>
  <c r="U11" i="10" s="1"/>
  <c r="K23" i="10" a="1"/>
  <c r="K27" i="10" a="1"/>
  <c r="L27" i="10" s="1"/>
  <c r="K9" i="10" a="1"/>
  <c r="K14" i="10" a="1"/>
  <c r="K13" i="10" a="1"/>
  <c r="K17" i="10" a="1"/>
  <c r="L17" i="10" s="1"/>
  <c r="K22" i="10" a="1"/>
  <c r="K2" i="10" a="1"/>
  <c r="L2" i="10" s="1"/>
  <c r="K3" i="10" a="1"/>
  <c r="K5" i="10" a="1"/>
  <c r="L5" i="10" s="1"/>
  <c r="K26" i="10" a="1"/>
  <c r="M26" i="10" s="1"/>
  <c r="S26" i="10" s="1"/>
  <c r="V26" i="10" s="1"/>
  <c r="K6" i="10" a="1"/>
  <c r="K8" i="10" a="1"/>
  <c r="K19" i="10" a="1"/>
  <c r="K25" i="10" a="1"/>
  <c r="O4" i="10"/>
  <c r="R4" i="10" s="1"/>
  <c r="U4" i="10" s="1"/>
  <c r="P4" i="10"/>
  <c r="Q4" i="10" s="1"/>
  <c r="T4" i="10" s="1"/>
  <c r="W4" i="10" s="1"/>
  <c r="O10" i="10"/>
  <c r="R10" i="10" s="1"/>
  <c r="U10" i="10" s="1"/>
  <c r="P10" i="10"/>
  <c r="Q10" i="10" s="1"/>
  <c r="T10" i="10" s="1"/>
  <c r="W10" i="10" s="1"/>
  <c r="D37" i="8"/>
  <c r="B37" i="8"/>
  <c r="E37" i="8" s="1"/>
  <c r="F37" i="8" s="1"/>
  <c r="F2" i="8"/>
  <c r="B5" i="8"/>
  <c r="N5" i="8" s="1"/>
  <c r="B23" i="8"/>
  <c r="C23" i="8" s="1"/>
  <c r="D5" i="8"/>
  <c r="L23" i="10" l="1"/>
  <c r="M23" i="10"/>
  <c r="S23" i="10" s="1"/>
  <c r="V23" i="10" s="1"/>
  <c r="O27" i="10"/>
  <c r="R27" i="10" s="1"/>
  <c r="U27" i="10" s="1"/>
  <c r="P27" i="10"/>
  <c r="Q27" i="10" s="1"/>
  <c r="T27" i="10" s="1"/>
  <c r="W27" i="10" s="1"/>
  <c r="M27" i="10"/>
  <c r="S27" i="10" s="1"/>
  <c r="V27" i="10" s="1"/>
  <c r="L9" i="10"/>
  <c r="M9" i="10" s="1"/>
  <c r="S9" i="10" s="1"/>
  <c r="V9" i="10" s="1"/>
  <c r="L14" i="10"/>
  <c r="M14" i="10" s="1"/>
  <c r="S14" i="10" s="1"/>
  <c r="V14" i="10" s="1"/>
  <c r="L13" i="10"/>
  <c r="M13" i="10" s="1"/>
  <c r="S13" i="10" s="1"/>
  <c r="V13" i="10" s="1"/>
  <c r="P17" i="10"/>
  <c r="Q17" i="10" s="1"/>
  <c r="T17" i="10" s="1"/>
  <c r="W17" i="10" s="1"/>
  <c r="O17" i="10"/>
  <c r="R17" i="10" s="1"/>
  <c r="U17" i="10" s="1"/>
  <c r="M17" i="10"/>
  <c r="S17" i="10" s="1"/>
  <c r="V17" i="10" s="1"/>
  <c r="L22" i="10"/>
  <c r="M22" i="10" s="1"/>
  <c r="S22" i="10" s="1"/>
  <c r="V22" i="10" s="1"/>
  <c r="O2" i="10"/>
  <c r="R2" i="10" s="1"/>
  <c r="U2" i="10" s="1"/>
  <c r="P2" i="10"/>
  <c r="Q2" i="10" s="1"/>
  <c r="T2" i="10" s="1"/>
  <c r="W2" i="10" s="1"/>
  <c r="M2" i="10"/>
  <c r="S2" i="10" s="1"/>
  <c r="V2" i="10" s="1"/>
  <c r="L3" i="10"/>
  <c r="M3" i="10" s="1"/>
  <c r="S3" i="10" s="1"/>
  <c r="V3" i="10" s="1"/>
  <c r="O5" i="10"/>
  <c r="R5" i="10" s="1"/>
  <c r="U5" i="10" s="1"/>
  <c r="P5" i="10"/>
  <c r="Q5" i="10" s="1"/>
  <c r="T5" i="10" s="1"/>
  <c r="W5" i="10" s="1"/>
  <c r="M5" i="10"/>
  <c r="S5" i="10" s="1"/>
  <c r="V5" i="10" s="1"/>
  <c r="L6" i="10"/>
  <c r="M6" i="10" s="1"/>
  <c r="S6" i="10" s="1"/>
  <c r="V6" i="10" s="1"/>
  <c r="L8" i="10"/>
  <c r="M8" i="10"/>
  <c r="S8" i="10" s="1"/>
  <c r="V8" i="10" s="1"/>
  <c r="L19" i="10"/>
  <c r="M19" i="10" s="1"/>
  <c r="S19" i="10" s="1"/>
  <c r="V19" i="10" s="1"/>
  <c r="L25" i="10"/>
  <c r="M25" i="10" s="1"/>
  <c r="S25" i="10" s="1"/>
  <c r="V25" i="10" s="1"/>
  <c r="C36" i="8" s="1"/>
  <c r="P23" i="10" l="1"/>
  <c r="Q23" i="10" s="1"/>
  <c r="T23" i="10" s="1"/>
  <c r="W23" i="10" s="1"/>
  <c r="O23" i="10"/>
  <c r="R23" i="10" s="1"/>
  <c r="U23" i="10" s="1"/>
  <c r="P9" i="10"/>
  <c r="Q9" i="10" s="1"/>
  <c r="T9" i="10" s="1"/>
  <c r="W9" i="10" s="1"/>
  <c r="O9" i="10"/>
  <c r="R9" i="10" s="1"/>
  <c r="U9" i="10" s="1"/>
  <c r="P14" i="10"/>
  <c r="Q14" i="10" s="1"/>
  <c r="T14" i="10" s="1"/>
  <c r="W14" i="10" s="1"/>
  <c r="O14" i="10"/>
  <c r="R14" i="10" s="1"/>
  <c r="U14" i="10" s="1"/>
  <c r="O13" i="10"/>
  <c r="R13" i="10" s="1"/>
  <c r="U13" i="10" s="1"/>
  <c r="P13" i="10"/>
  <c r="Q13" i="10" s="1"/>
  <c r="T13" i="10" s="1"/>
  <c r="W13" i="10" s="1"/>
  <c r="O22" i="10"/>
  <c r="R22" i="10" s="1"/>
  <c r="U22" i="10" s="1"/>
  <c r="P22" i="10"/>
  <c r="Q22" i="10" s="1"/>
  <c r="T22" i="10" s="1"/>
  <c r="W22" i="10" s="1"/>
  <c r="D8" i="8"/>
  <c r="B8" i="8" s="1"/>
  <c r="N7" i="8" s="1"/>
  <c r="C33" i="8"/>
  <c r="O3" i="10"/>
  <c r="R3" i="10" s="1"/>
  <c r="U3" i="10" s="1"/>
  <c r="P3" i="10"/>
  <c r="Q3" i="10" s="1"/>
  <c r="T3" i="10" s="1"/>
  <c r="W3" i="10" s="1"/>
  <c r="O6" i="10"/>
  <c r="R6" i="10" s="1"/>
  <c r="U6" i="10" s="1"/>
  <c r="P6" i="10"/>
  <c r="Q6" i="10" s="1"/>
  <c r="T6" i="10" s="1"/>
  <c r="W6" i="10" s="1"/>
  <c r="O8" i="10"/>
  <c r="R8" i="10" s="1"/>
  <c r="U8" i="10" s="1"/>
  <c r="P8" i="10"/>
  <c r="Q8" i="10" s="1"/>
  <c r="T8" i="10" s="1"/>
  <c r="W8" i="10" s="1"/>
  <c r="P19" i="10"/>
  <c r="Q19" i="10" s="1"/>
  <c r="T19" i="10" s="1"/>
  <c r="W19" i="10" s="1"/>
  <c r="D35" i="8" s="1"/>
  <c r="O19" i="10"/>
  <c r="R19" i="10" s="1"/>
  <c r="U19" i="10" s="1"/>
  <c r="B35" i="8" s="1"/>
  <c r="O25" i="10"/>
  <c r="R25" i="10" s="1"/>
  <c r="U25" i="10" s="1"/>
  <c r="B36" i="8" s="1"/>
  <c r="P25" i="10"/>
  <c r="Q25" i="10" s="1"/>
  <c r="T25" i="10" s="1"/>
  <c r="W25" i="10" s="1"/>
  <c r="D36" i="8" s="1"/>
  <c r="C35" i="8"/>
  <c r="E36" i="8" l="1"/>
  <c r="F36" i="8" s="1"/>
  <c r="E35" i="8"/>
  <c r="F35" i="8" s="1"/>
  <c r="B33" i="8"/>
  <c r="D7" i="8"/>
  <c r="D9" i="8"/>
  <c r="B9" i="8" s="1"/>
  <c r="D33" i="8"/>
  <c r="B7" i="8" l="1"/>
  <c r="D2" i="8"/>
  <c r="E33" i="8"/>
  <c r="F33" i="8" s="1"/>
  <c r="N8" i="8" l="1"/>
  <c r="B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<sst xmlns="http://schemas.openxmlformats.org/spreadsheetml/2006/main" count="511" uniqueCount="283">
  <si>
    <t>Cost</t>
  </si>
  <si>
    <t>Unit</t>
  </si>
  <si>
    <t>Mass</t>
  </si>
  <si>
    <t>Comparison:</t>
  </si>
  <si>
    <t>Total costs</t>
  </si>
  <si>
    <t>€/cm^2</t>
  </si>
  <si>
    <t>€/SRU</t>
  </si>
  <si>
    <t>g/SRU</t>
  </si>
  <si>
    <t>Harboe:</t>
  </si>
  <si>
    <t>Harboe</t>
  </si>
  <si>
    <t>This model</t>
  </si>
  <si>
    <t>Cell</t>
  </si>
  <si>
    <t xml:space="preserve">Frame </t>
  </si>
  <si>
    <t>Frame</t>
  </si>
  <si>
    <t xml:space="preserve">Miscellaneous </t>
  </si>
  <si>
    <t>Misc</t>
  </si>
  <si>
    <t xml:space="preserve">Machining </t>
  </si>
  <si>
    <t>Labour</t>
  </si>
  <si>
    <t xml:space="preserve">Labour </t>
  </si>
  <si>
    <t>Other</t>
  </si>
  <si>
    <t xml:space="preserve">Energy </t>
  </si>
  <si>
    <t>Further breakdown:</t>
  </si>
  <si>
    <t>Cell:</t>
  </si>
  <si>
    <t>Oxygen electrode</t>
  </si>
  <si>
    <t>Contact layer</t>
  </si>
  <si>
    <t>CGO Layer</t>
  </si>
  <si>
    <t>Electrolyte</t>
  </si>
  <si>
    <t>Ni-YSZ Active</t>
  </si>
  <si>
    <t>Ni-YSZ Support</t>
  </si>
  <si>
    <t>Frame:</t>
  </si>
  <si>
    <t>Interconnects</t>
  </si>
  <si>
    <t>Spacers</t>
  </si>
  <si>
    <t>Current collectors</t>
  </si>
  <si>
    <t>Compression plates</t>
  </si>
  <si>
    <t>Misc:</t>
  </si>
  <si>
    <t>Glass sealant</t>
  </si>
  <si>
    <t>Protection coating</t>
  </si>
  <si>
    <t>Ni-Mesh layer</t>
  </si>
  <si>
    <t>Manufacturing and labour:</t>
  </si>
  <si>
    <t>Machine costs</t>
  </si>
  <si>
    <t>Energy</t>
  </si>
  <si>
    <t>Total</t>
  </si>
  <si>
    <t>Interconnects and frames</t>
  </si>
  <si>
    <t>Dies</t>
  </si>
  <si>
    <t>Cells and glass sealants</t>
  </si>
  <si>
    <t>Pre-assembly</t>
  </si>
  <si>
    <t>Final assembly</t>
  </si>
  <si>
    <t>Production volume</t>
  </si>
  <si>
    <t>batches</t>
  </si>
  <si>
    <t>Table for max cycle time</t>
  </si>
  <si>
    <t>Shifts/day</t>
  </si>
  <si>
    <t>Hours/shift</t>
  </si>
  <si>
    <t>Hours/year</t>
  </si>
  <si>
    <t>Takt time</t>
  </si>
  <si>
    <t>Machine cost factor (CAPEX)</t>
  </si>
  <si>
    <t>Takt time, 1 shift (7.5 hrs)</t>
  </si>
  <si>
    <t>Stacks per batch</t>
  </si>
  <si>
    <t>Takt time, 3 shift (7.5 hrs)</t>
  </si>
  <si>
    <t>SRU per stack</t>
  </si>
  <si>
    <t>Takt time, 3 shift (8 hrs)</t>
  </si>
  <si>
    <t>Layers per batch</t>
  </si>
  <si>
    <t>End plates</t>
  </si>
  <si>
    <t>Power price</t>
  </si>
  <si>
    <t>€/kWh</t>
  </si>
  <si>
    <t>Power cost per batch</t>
  </si>
  <si>
    <t>-II- in kJ</t>
  </si>
  <si>
    <t>€/kJ</t>
  </si>
  <si>
    <t>Annual salary, per labourer</t>
  </si>
  <si>
    <t>€/year</t>
  </si>
  <si>
    <t>Availability factor</t>
  </si>
  <si>
    <t>[%]</t>
  </si>
  <si>
    <t>Work days per year</t>
  </si>
  <si>
    <t>days/year</t>
  </si>
  <si>
    <t>Total SRU produced / year</t>
  </si>
  <si>
    <t>SRU/year</t>
  </si>
  <si>
    <t>Scaling factors</t>
  </si>
  <si>
    <t>Value</t>
  </si>
  <si>
    <t>Big cell area</t>
  </si>
  <si>
    <t>Length</t>
  </si>
  <si>
    <t>Per piece</t>
  </si>
  <si>
    <t>Assumed 30.000 pieces before replacement</t>
  </si>
  <si>
    <t>Scaler, per piece</t>
  </si>
  <si>
    <t>Scaler, big cell:</t>
  </si>
  <si>
    <t>Scaler, frame:</t>
  </si>
  <si>
    <t>Scaler, length:</t>
  </si>
  <si>
    <t>For scaling factors:</t>
  </si>
  <si>
    <t>Harboe design parameters:</t>
  </si>
  <si>
    <t>Total length</t>
  </si>
  <si>
    <t>cm</t>
  </si>
  <si>
    <t>Total width</t>
  </si>
  <si>
    <t>Cell length</t>
  </si>
  <si>
    <t>Cell width</t>
  </si>
  <si>
    <t>SRU's per stack</t>
  </si>
  <si>
    <t>Small active area</t>
  </si>
  <si>
    <t>cm^2</t>
  </si>
  <si>
    <t>Big active area</t>
  </si>
  <si>
    <t>Frame area</t>
  </si>
  <si>
    <t>cell_ratio:</t>
  </si>
  <si>
    <t>frame_ratio:</t>
  </si>
  <si>
    <t>Key Values</t>
  </si>
  <si>
    <t>Input value</t>
  </si>
  <si>
    <t>Cells per SRU</t>
  </si>
  <si>
    <t>Width</t>
  </si>
  <si>
    <t>Small-&gt;Big cell</t>
  </si>
  <si>
    <t>Big cell-&gt;Frame</t>
  </si>
  <si>
    <t>Framing</t>
  </si>
  <si>
    <t>IC Thickness</t>
  </si>
  <si>
    <t>µm</t>
  </si>
  <si>
    <t>Distance between IC</t>
  </si>
  <si>
    <t>Compression Thickness</t>
  </si>
  <si>
    <t>Spacer steel fraction</t>
  </si>
  <si>
    <t>Compr/IC/collector steel fraction</t>
  </si>
  <si>
    <t>Scrap cost return (IC)</t>
  </si>
  <si>
    <t>Scrap cost return (other)</t>
  </si>
  <si>
    <t>Decision variables:</t>
  </si>
  <si>
    <t>Steel material</t>
  </si>
  <si>
    <t>Crofer22H</t>
  </si>
  <si>
    <t>With/Without reuse of cutouts</t>
  </si>
  <si>
    <t>With</t>
  </si>
  <si>
    <t>Total footprint</t>
  </si>
  <si>
    <t>Small cell area</t>
  </si>
  <si>
    <t>[€/kg]</t>
  </si>
  <si>
    <t>[µm]</t>
  </si>
  <si>
    <t>[g/cm^3]</t>
  </si>
  <si>
    <t>[kg/m^2]</t>
  </si>
  <si>
    <t>[€/m^2]</t>
  </si>
  <si>
    <t>[cm^2]</t>
  </si>
  <si>
    <t>[€]</t>
  </si>
  <si>
    <t>[g]</t>
  </si>
  <si>
    <t>Assumptions:</t>
  </si>
  <si>
    <t>Layer</t>
  </si>
  <si>
    <t>Material</t>
  </si>
  <si>
    <t>Mat. Price</t>
  </si>
  <si>
    <t>Thickness</t>
  </si>
  <si>
    <t>Porosity</t>
  </si>
  <si>
    <t>Fraction in layer</t>
  </si>
  <si>
    <t>Volume%</t>
  </si>
  <si>
    <t>Mat. Density</t>
  </si>
  <si>
    <t>Cost per area</t>
  </si>
  <si>
    <t>Area</t>
  </si>
  <si>
    <t>Cost per unit</t>
  </si>
  <si>
    <t>Mass per unit</t>
  </si>
  <si>
    <t>Cost of LSC = LSCF = LSFNT</t>
  </si>
  <si>
    <t>LSC</t>
  </si>
  <si>
    <t>Cost of Ni/CGO = CGO</t>
  </si>
  <si>
    <t>Ni/CGO cost/density is negligible</t>
  </si>
  <si>
    <t>CGO</t>
  </si>
  <si>
    <t>8YSZ</t>
  </si>
  <si>
    <t>NiO</t>
  </si>
  <si>
    <t>Layers per SRU</t>
  </si>
  <si>
    <t>1 per stack converts to:</t>
  </si>
  <si>
    <t>per SRU</t>
  </si>
  <si>
    <t>Interconnect in SRU</t>
  </si>
  <si>
    <t>Interconnect in stack</t>
  </si>
  <si>
    <t>Current collector</t>
  </si>
  <si>
    <t>Auxiliary spacer</t>
  </si>
  <si>
    <t>Oxidant spacer</t>
  </si>
  <si>
    <t>Fuel spacer</t>
  </si>
  <si>
    <t>Compression plate</t>
  </si>
  <si>
    <t>Assumption:</t>
  </si>
  <si>
    <t>Numbers reverse engineered from Harboe2020</t>
  </si>
  <si>
    <t>Thickness of protection layer is thinner than julich, as temperature is assumed lower</t>
  </si>
  <si>
    <t>MCF</t>
  </si>
  <si>
    <t>Ni-mesh is calculated per m^2 cost rather than per kg</t>
  </si>
  <si>
    <t>Ni-Mesh</t>
  </si>
  <si>
    <t>Process</t>
  </si>
  <si>
    <t>Category</t>
  </si>
  <si>
    <t>Scales by</t>
  </si>
  <si>
    <t>n machines (base)</t>
  </si>
  <si>
    <t>CAPEX (per machine)</t>
  </si>
  <si>
    <t>Power (per machine)</t>
  </si>
  <si>
    <t>Cycle time</t>
  </si>
  <si>
    <t>Persons/machine</t>
  </si>
  <si>
    <t>Nr of shifts</t>
  </si>
  <si>
    <t>Shift time</t>
  </si>
  <si>
    <t>Max cycle time</t>
  </si>
  <si>
    <t>n machines (scaled)</t>
  </si>
  <si>
    <t>Hour-ratio</t>
  </si>
  <si>
    <t>Scaling factor</t>
  </si>
  <si>
    <t>CAPEX</t>
  </si>
  <si>
    <t>Power</t>
  </si>
  <si>
    <t>Factorized CAPEX</t>
  </si>
  <si>
    <t>Labour cost</t>
  </si>
  <si>
    <t>Power cost</t>
  </si>
  <si>
    <t>CAPEX per SRU</t>
  </si>
  <si>
    <t>Labour per SRU</t>
  </si>
  <si>
    <t>Power cost per SRU</t>
  </si>
  <si>
    <t>Hydraulic plate cutter / guillotine</t>
  </si>
  <si>
    <t>Dual die stamper, automatic</t>
  </si>
  <si>
    <t>Pick and place robot / for stamper</t>
  </si>
  <si>
    <t>Sand blasting unit</t>
  </si>
  <si>
    <t>Ultrasonic cleaning bath with dryer</t>
  </si>
  <si>
    <t>Tumbler mixer for protection powder</t>
  </si>
  <si>
    <t xml:space="preserve">APS coating spraying </t>
  </si>
  <si>
    <t>Annealing furnace</t>
  </si>
  <si>
    <t>Integrated automatic inspection</t>
  </si>
  <si>
    <t>Laser cutting machine</t>
  </si>
  <si>
    <t>CNC vertical mill</t>
  </si>
  <si>
    <t>Spot welding machine</t>
  </si>
  <si>
    <t>Cutter for nickel mesh</t>
  </si>
  <si>
    <t>Multi-unit dies</t>
  </si>
  <si>
    <t>Machinery for cell slurry preparation</t>
  </si>
  <si>
    <t>Tape casting machines</t>
  </si>
  <si>
    <t>PCB Loader</t>
  </si>
  <si>
    <t>Screen printer (cells, glass sealant tape)</t>
  </si>
  <si>
    <t>Reflow oven</t>
  </si>
  <si>
    <t>PCB conveyer</t>
  </si>
  <si>
    <t>Tape cutter/slitter</t>
  </si>
  <si>
    <t>Firing kiln (3-shift)</t>
  </si>
  <si>
    <t>Machinery for sealent slurry preparation</t>
  </si>
  <si>
    <t>Laser welder</t>
  </si>
  <si>
    <t xml:space="preserve">Robot assembly stations  </t>
  </si>
  <si>
    <t>Annealing oven</t>
  </si>
  <si>
    <t>Assembly line</t>
  </si>
  <si>
    <t>Sintering and testing line</t>
  </si>
  <si>
    <t>Density</t>
  </si>
  <si>
    <t>SS441</t>
  </si>
  <si>
    <t>ScYSZ</t>
  </si>
  <si>
    <t>Crofer22APU</t>
  </si>
  <si>
    <t>LSCF</t>
  </si>
  <si>
    <t>LSFNT</t>
  </si>
  <si>
    <t>Ni/CGO</t>
  </si>
  <si>
    <t>This sheet is used to estimate the fraction of each metal component, which needs to be cut out in order for other components to fit in</t>
  </si>
  <si>
    <t>Below are the 2-dimensional measurements for the reference design:</t>
  </si>
  <si>
    <t>Cell length:</t>
  </si>
  <si>
    <t>Cell width:</t>
  </si>
  <si>
    <t>Cell ratio</t>
  </si>
  <si>
    <t>Frame constant</t>
  </si>
  <si>
    <t>Meaning the total frame is:</t>
  </si>
  <si>
    <t>Frame length:</t>
  </si>
  <si>
    <t>Frame width:</t>
  </si>
  <si>
    <t>All metal layers contain holes for gas flow, which need to be included</t>
  </si>
  <si>
    <t>Retry:</t>
  </si>
  <si>
    <t>Fuel hole radius base</t>
  </si>
  <si>
    <t>Fuel hole area base</t>
  </si>
  <si>
    <t>Frame constant base:</t>
  </si>
  <si>
    <t>Scaler:</t>
  </si>
  <si>
    <t>Actual area</t>
  </si>
  <si>
    <t>Actual radius</t>
  </si>
  <si>
    <t>Base number of holes</t>
  </si>
  <si>
    <t>Cell length base</t>
  </si>
  <si>
    <t>Scaler</t>
  </si>
  <si>
    <t>New nr. of holes</t>
  </si>
  <si>
    <t>A_holes:</t>
  </si>
  <si>
    <t>Frame area with metal:</t>
  </si>
  <si>
    <t>% of frame area:</t>
  </si>
  <si>
    <t>Both spacer-layers and interconnect layers have holes cut out for the cell.</t>
  </si>
  <si>
    <t>Frame area:</t>
  </si>
  <si>
    <t>Cell area:</t>
  </si>
  <si>
    <t>Metal area:</t>
  </si>
  <si>
    <t>(for spacers and IC)</t>
  </si>
  <si>
    <t>%of frame:</t>
  </si>
  <si>
    <t>Harboe stack design:</t>
  </si>
  <si>
    <t>To reverse-engineer the glass sealant use and density:</t>
  </si>
  <si>
    <t>Cell area</t>
  </si>
  <si>
    <t>Cells per stack</t>
  </si>
  <si>
    <t>Stacks per 5kW</t>
  </si>
  <si>
    <t>Total cells per 5kW</t>
  </si>
  <si>
    <t>Total glass sealant</t>
  </si>
  <si>
    <t>kg</t>
  </si>
  <si>
    <t>Glass sealant per cell</t>
  </si>
  <si>
    <t>g</t>
  </si>
  <si>
    <t>Total sealant height</t>
  </si>
  <si>
    <t>(from source:)</t>
  </si>
  <si>
    <t>https://juser.fz-juelich.de/record/842212/files/Energie_Umwelt_391.pdf</t>
  </si>
  <si>
    <t>Dimensions:</t>
  </si>
  <si>
    <t>mm</t>
  </si>
  <si>
    <t>Sealant/frame area</t>
  </si>
  <si>
    <t>Total volume of sealant:</t>
  </si>
  <si>
    <t>cm^3</t>
  </si>
  <si>
    <t>Density must be:</t>
  </si>
  <si>
    <t>g/cm^3</t>
  </si>
  <si>
    <t>Overview with given inputs:</t>
  </si>
  <si>
    <t>Glass sealant height</t>
  </si>
  <si>
    <t>Sealant area:</t>
  </si>
  <si>
    <t>And for the metal coating</t>
  </si>
  <si>
    <t>MCF mass</t>
  </si>
  <si>
    <t>Per SRU</t>
  </si>
  <si>
    <t>kg/SRU</t>
  </si>
  <si>
    <t>Assumed thickness</t>
  </si>
  <si>
    <t>Assumed area:</t>
  </si>
  <si>
    <t>Volume:</t>
  </si>
  <si>
    <t>Cell discard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</si>
</sst>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_-* #,##0.000_-;\-* #,##0.000_-;_-* &quot;-&quot;??_-;_-@_-"/>
    <numFmt numFmtId="167" formatCode="_-* #,##0.00\ _k_r_._-;\-* #,##0.00\ _k_r_._-;_-* &quot;-&quot;??\ _k_r_._-;_-@_-"/>
    <numFmt numFmtId="168" formatCode="0.0"/>
    <numFmt numFmtId="169" formatCode="0.0000"/>
    <numFmt numFmtId="170" formatCode="_-* #,##0.0_-;\-* #,##0.0_-;_-* &quot;-&quot;?_-;_-@_-"/>
    <numFmt numFmtId="171" formatCode="_-* #,##0.0000_-;\-* #,##0.0000_-;_-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Consolas"/>
      <family val="3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3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0" xfId="1" applyNumberFormat="1" applyFont="1"/>
    <xf numFmtId="166" fontId="0" fillId="0" borderId="0" xfId="1" applyNumberFormat="1" applyFont="1"/>
    <xf numFmtId="167" fontId="0" fillId="0" borderId="0" xfId="0" applyNumberFormat="1"/>
    <xf numFmtId="0" fontId="4" fillId="0" borderId="0" xfId="0" applyFont="1"/>
    <xf numFmtId="43" fontId="0" fillId="0" borderId="0" xfId="0" applyNumberFormat="1"/>
    <xf numFmtId="168" fontId="0" fillId="0" borderId="0" xfId="0" applyNumberFormat="1"/>
    <xf numFmtId="0" fontId="0" fillId="0" borderId="0" xfId="0" quotePrefix="1"/>
    <xf numFmtId="169" fontId="0" fillId="0" borderId="0" xfId="0" applyNumberFormat="1"/>
    <xf numFmtId="43" fontId="0" fillId="0" borderId="0" xfId="1" applyFont="1"/>
    <xf numFmtId="166" fontId="0" fillId="0" borderId="0" xfId="0" applyNumberFormat="1"/>
    <xf numFmtId="0" fontId="4" fillId="2" borderId="0" xfId="0" applyFont="1" applyFill="1"/>
    <xf numFmtId="0" fontId="5" fillId="0" borderId="0" xfId="0" applyFont="1"/>
    <xf numFmtId="170" fontId="0" fillId="0" borderId="0" xfId="0" applyNumberFormat="1"/>
    <xf numFmtId="1" fontId="0" fillId="0" borderId="0" xfId="0" applyNumberFormat="1"/>
    <xf numFmtId="9" fontId="0" fillId="0" borderId="0" xfId="2" applyFont="1"/>
    <xf numFmtId="164" fontId="0" fillId="0" borderId="0" xfId="0" applyNumberFormat="1"/>
    <xf numFmtId="9" fontId="0" fillId="0" borderId="0" xfId="0" applyNumberFormat="1"/>
    <xf numFmtId="165" fontId="0" fillId="0" borderId="0" xfId="1" applyNumberFormat="1" applyFont="1"/>
    <xf numFmtId="0" fontId="0" fillId="0" borderId="3" xfId="0" applyBorder="1"/>
    <xf numFmtId="9" fontId="0" fillId="0" borderId="3" xfId="2" applyFont="1" applyBorder="1"/>
    <xf numFmtId="0" fontId="0" fillId="2" borderId="0" xfId="0" applyFill="1"/>
    <xf numFmtId="171" fontId="0" fillId="0" borderId="0" xfId="1" applyNumberFormat="1" applyFont="1"/>
    <xf numFmtId="0" fontId="5" fillId="0" borderId="1" xfId="0" applyFont="1" applyBorder="1"/>
    <xf numFmtId="171" fontId="0" fillId="0" borderId="0" xfId="0" applyNumberFormat="1"/>
    <xf numFmtId="165" fontId="0" fillId="0" borderId="0" xfId="0" applyNumberFormat="1"/>
    <xf numFmtId="9" fontId="0" fillId="2" borderId="0" xfId="0" applyNumberFormat="1" applyFill="1"/>
    <xf numFmtId="43" fontId="2" fillId="0" borderId="2" xfId="1" applyFont="1" applyBorder="1"/>
    <xf numFmtId="0" fontId="2" fillId="0" borderId="2" xfId="0" applyFont="1" applyBorder="1"/>
    <xf numFmtId="165" fontId="2" fillId="0" borderId="2" xfId="1" applyNumberFormat="1" applyFont="1" applyBorder="1"/>
    <xf numFmtId="164" fontId="2" fillId="0" borderId="2" xfId="1" applyNumberFormat="1" applyFont="1" applyBorder="1"/>
    <xf numFmtId="43" fontId="9" fillId="4" borderId="2" xfId="4" applyNumberFormat="1" applyFont="1" applyBorder="1"/>
    <xf numFmtId="0" fontId="10" fillId="3" borderId="2" xfId="3" applyFont="1" applyBorder="1"/>
    <xf numFmtId="165" fontId="11" fillId="0" borderId="0" xfId="1" applyNumberFormat="1" applyFont="1" applyBorder="1"/>
    <xf numFmtId="0" fontId="11" fillId="0" borderId="0" xfId="0" applyFont="1"/>
    <xf numFmtId="164" fontId="8" fillId="4" borderId="0" xfId="4" applyNumberFormat="1"/>
    <xf numFmtId="43" fontId="7" fillId="3" borderId="0" xfId="1" applyFont="1" applyFill="1"/>
    <xf numFmtId="165" fontId="12" fillId="0" borderId="0" xfId="1" applyNumberFormat="1" applyFont="1"/>
    <xf numFmtId="164" fontId="0" fillId="0" borderId="0" xfId="1" applyNumberFormat="1" applyFont="1" applyFill="1"/>
    <xf numFmtId="165" fontId="0" fillId="5" borderId="0" xfId="1" applyNumberFormat="1" applyFont="1" applyFill="1"/>
    <xf numFmtId="43" fontId="11" fillId="5" borderId="0" xfId="1" applyFont="1" applyFill="1"/>
    <xf numFmtId="0" fontId="0" fillId="5" borderId="0" xfId="0" applyFill="1"/>
    <xf numFmtId="43" fontId="0" fillId="5" borderId="0" xfId="1" applyFont="1" applyFill="1"/>
    <xf numFmtId="0" fontId="11" fillId="5" borderId="0" xfId="0" applyFont="1" applyFill="1"/>
    <xf numFmtId="0" fontId="0" fillId="6" borderId="0" xfId="0" applyFill="1"/>
    <xf numFmtId="9" fontId="0" fillId="6" borderId="0" xfId="0" applyNumberFormat="1" applyFill="1"/>
    <xf numFmtId="43" fontId="0" fillId="6" borderId="0" xfId="1" applyFont="1" applyFill="1"/>
    <xf numFmtId="164" fontId="4" fillId="6" borderId="0" xfId="4" applyNumberFormat="1" applyFont="1" applyFill="1"/>
    <xf numFmtId="2" fontId="0" fillId="0" borderId="0" xfId="0" applyNumberFormat="1"/>
    <xf numFmtId="0" fontId="13" fillId="0" borderId="0" xfId="5"/>
  </cellXfs>
  <cellStyles count="6">
    <cellStyle name="Comma" xfId="1" builtinId="3"/>
    <cellStyle name="Good" xfId="3" builtinId="26"/>
    <cellStyle name="Hyperlink" xfId="5" xr:uid="{00000000-000B-0000-0000-000008000000}"/>
    <cellStyle name="Neutral" xfId="4" builtinId="28"/>
    <cellStyle name="Normal" xfId="0" builtinId="0"/>
    <cellStyle name="Per cent" xfId="2" builtinId="5"/>
  </cellStyles>
  <dxfs count="3">
    <dxf>
      <numFmt numFmtId="167" formatCode="_-* #,##0.00\ _k_r_._-;\-* #,##0.00\ _k_r_._-;_-* &quot;-&quot;??\ _k_r_._-;_-@_-"/>
    </dxf>
    <dxf>
      <numFmt numFmtId="164" formatCode="_-* #,##0.0_-;\-* #,##0.0_-;_-* &quot;-&quot;??_-;_-@_-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Validation:</a:t>
            </a:r>
            <a:r>
              <a:rPr lang="en-US" baseline="0"/>
              <a:t> This model results vs. Haboe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Results!$M$3</c:f>
              <c:strCache>
                <c:ptCount val="1"/>
                <c:pt idx="0">
                  <c:v>Harboe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Results!$L$4:$L$8</c:f>
              <c:strCache>
                <c:ptCount val="5"/>
                <c:pt idx="0">
                  <c:v>Cell</c:v>
                </c:pt>
                <c:pt idx="1">
                  <c:v>Frame</c:v>
                </c:pt>
                <c:pt idx="2">
                  <c:v>Misc</c:v>
                </c:pt>
                <c:pt idx="3">
                  <c:v>Labour</c:v>
                </c:pt>
                <c:pt idx="4">
                  <c:v>Other</c:v>
                </c:pt>
              </c:strCache>
            </c:strRef>
          </c:cat>
          <c:val>
            <c:numRef>
              <c:f>Results!$M$4:$M$8</c:f>
              <c:numCache>
                <c:formatCode>_-* #,##0.000_-;\-* #,##0.000_-;_-* "-"??_-;_-@_-</c:formatCode>
                <c:ptCount val="5"/>
                <c:pt idx="0">
                  <c:v>1.140625E-2</c:v>
                </c:pt>
                <c:pt idx="1">
                  <c:v>4.3046874999999998E-2</c:v>
                </c:pt>
                <c:pt idx="2">
                  <c:v>2.6796875000000001E-2</c:v>
                </c:pt>
                <c:pt idx="3">
                  <c:v>1.125E-2</c:v>
                </c:pt>
                <c:pt idx="4">
                  <c:v>3.2500000000000001E-2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F-8743-98CC-5CAA1DDC51BF}"/>
            </c:ext>
          </c:extLst>
        </c:ser>
        <c:ser>
          <c:idx val="1"/>
          <c:order val="1"/>
          <c:tx>
            <c:strRef>
              <c:f>Results!$N$3</c:f>
              <c:strCache>
                <c:ptCount val="1"/>
                <c:pt idx="0">
                  <c:v>This model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Results!$L$4:$L$8</c:f>
              <c:strCache>
                <c:ptCount val="5"/>
                <c:pt idx="0">
                  <c:v>Cell</c:v>
                </c:pt>
                <c:pt idx="1">
                  <c:v>Frame</c:v>
                </c:pt>
                <c:pt idx="2">
                  <c:v>Misc</c:v>
                </c:pt>
                <c:pt idx="3">
                  <c:v>Labour</c:v>
                </c:pt>
                <c:pt idx="4">
                  <c:v>Other</c:v>
                </c:pt>
              </c:strCache>
            </c:strRef>
          </c:cat>
          <c:val>
            <c:numRef>
              <c:f>Results!$N$4:$N$8</c:f>
              <c:numCache>
                <c:formatCode>_-* #,##0.000_-;\-* #,##0.000_-;_-* "-"??_-;_-@_-</c:formatCode>
                <c:ptCount val="5"/>
                <c:pt idx="0">
                  <c:v>1.0094673452792554E-2</c:v>
                </c:pt>
                <c:pt idx="1">
                  <c:v>4.2479523538517687E-2</c:v>
                </c:pt>
                <c:pt idx="2">
                  <c:v>2.0919460701268034E-2</c:v>
                </c:pt>
                <c:pt idx="3">
                  <c:v>9.0528157204475199E-3</c:v>
                </c:pt>
                <c:pt idx="4">
                  <c:v>2.9286765223711961E-2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EF-8743-98CC-5CAA1DDC5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0931839"/>
        <c:axId val="1220933551"/>
      </c:barChart>
      <c:catAx>
        <c:axId val="122093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220933551"/>
        <c:crosses val="autoZero"/>
        <c:auto val="1"/>
        <c:lblAlgn val="ctr"/>
        <c:lblOffset val="100"/>
        <c:noMultiLvlLbl val="0"/>
      </c:catAx>
      <c:valAx>
        <c:axId val="122093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22093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162560</xdr:colOff>
      <xdr:row>9</xdr:row>
      <xdr:rowOff>15240</xdr:rowOff>
    </xdr:from>
    <xdr:to>
      <xdr:col>14</xdr:col>
      <xdr:colOff>457200</xdr:colOff>
      <xdr:row>23</xdr:row>
      <xdr:rowOff>55880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B5E145-8D17-F17A-2AFE-B77D7B481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AB6E7F-B5B5-4C0A-B4BD-6C765F35FCDB}" name="Max_cycle_table" displayName="Max_cycle_table" ref="F1:J5" totalsRowShown="0">
  <autoFilter ref="F1:J5" xr:uid="{01AB6E7F-B5B5-4C0A-B4BD-6C765F35FCDB}"/>
  <tableColumns count="5">
    <tableColumn id="1" xr3:uid="{E1CB8004-A2A9-4BED-8435-8B28A2AD9D61}" name="Table for max cycle time"/>
    <tableColumn id="2" xr3:uid="{35543A1B-A208-42F3-8FF9-394FC7E000C5}" name="Shifts/day"/>
    <tableColumn id="3" xr3:uid="{948A6781-2A6A-4D67-9313-87526DAC8F5F}" name="Hours/shift"/>
    <tableColumn id="5" xr3:uid="{F21E8C40-B0BA-40B2-827F-12708E3B09B7}" name="Hours/year" dataDxfId="2">
      <calculatedColumnFormula>$B$12*Max_cycle_table[[#This Row],[Shifts/day]]*Max_cycle_table[[#This Row],[Hours/shift]]*$B$11</calculatedColumnFormula>
    </tableColumn>
    <tableColumn id="4" xr3:uid="{907C2707-26A8-4B60-84F8-418321409961}" name="Takt tim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95C176-9217-4D5C-BC66-AFFAE3F5FAFB}" name="Scale_table" displayName="Scale_table" ref="A16:B20" totalsRowShown="0">
  <autoFilter ref="A16:B20" xr:uid="{2495C176-9217-4D5C-BC66-AFFAE3F5FAFB}"/>
  <tableColumns count="2">
    <tableColumn id="1" xr3:uid="{A3EBE54F-7BD3-4FCD-9A6D-C2BDE3ED6786}" name="Scaling factors"/>
    <tableColumn id="2" xr3:uid="{466E0850-816E-4672-8E48-D60F3FB0F9DD}" name="Valu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F12F11-0C96-4378-B766-343C28FD7539}" name="Tabel2" displayName="Tabel2" ref="A2:C13" totalsRowShown="0">
  <autoFilter ref="A2:C13" xr:uid="{C2F12F11-0C96-4378-B766-343C28FD7539}"/>
  <tableColumns count="3">
    <tableColumn id="1" xr3:uid="{CC8F520D-FE57-4E66-9352-828F099474FA}" name="Material"/>
    <tableColumn id="2" xr3:uid="{648AE239-C7DD-44C7-B40D-D0B07620491E}" name="Cost"/>
    <tableColumn id="3" xr3:uid="{817B05DB-4A8F-4EFC-8CBA-6E355BBC308F}" name="Dens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juser.fz-juelich.de/record/842212/files/Energie_Umwelt_39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D746B-796A-4E3D-8AC2-C7B49AE8A310}">
  <sheetPr>
    <tabColor theme="8"/>
  </sheetPr>
  <dimension ref="A1:O37"/>
  <sheetViews>
    <sheetView tabSelected="1" zoomScale="125" zoomScaleNormal="130" workbookViewId="0">
      <selection activeCell="H8" sqref="H8"/>
    </sheetView>
  </sheetViews>
  <sheetFormatPr defaultColWidth="8.85546875" defaultRowHeight="15" x14ac:dyDescent="0.25"/>
  <cols>
    <col min="1" max="1" width="24.7109375" bestFit="1" customWidth="1"/>
    <col min="3" max="3" width="9.7109375" bestFit="1" customWidth="1"/>
    <col min="4" max="4" width="10" bestFit="1" customWidth="1"/>
    <col min="9" max="9" width="12.140625" bestFit="1" customWidth="1"/>
  </cols>
  <sheetData>
    <row r="1" spans="1:15" x14ac:dyDescent="0.25">
      <c r="B1" t="s">
        <v>0</v>
      </c>
      <c r="C1" t="s">
        <v>1</v>
      </c>
      <c r="D1" t="s">
        <v>0</v>
      </c>
      <c r="E1" t="s">
        <v>1</v>
      </c>
      <c r="F1" t="s">
        <v>2</v>
      </c>
      <c r="G1" t="s">
        <v>1</v>
      </c>
      <c r="I1" s="1" t="s">
        <v>3</v>
      </c>
    </row>
    <row r="2" spans="1:15" x14ac:dyDescent="0.25">
      <c r="A2" t="s">
        <v>4</v>
      </c>
      <c r="B2" s="7">
        <f>SUM(B4:B9)</f>
        <v>0.11183323863673776</v>
      </c>
      <c r="C2" t="s">
        <v>5</v>
      </c>
      <c r="D2" s="7">
        <f>SUM(D4:D9)</f>
        <v>15.078316525658328</v>
      </c>
      <c r="E2" t="s">
        <v>6</v>
      </c>
      <c r="F2" s="7">
        <f>SUM(F4:F6)</f>
        <v>380.868303565031</v>
      </c>
      <c r="G2" t="s">
        <v>7</v>
      </c>
      <c r="I2" t="s">
        <v>8</v>
      </c>
      <c r="J2" s="50">
        <f>SUM(J4:J8)</f>
        <v>16</v>
      </c>
    </row>
    <row r="3" spans="1:15" x14ac:dyDescent="0.25">
      <c r="M3" s="1" t="s">
        <v>9</v>
      </c>
      <c r="N3" s="1" t="s">
        <v>10</v>
      </c>
    </row>
    <row r="4" spans="1:15" x14ac:dyDescent="0.25">
      <c r="A4" t="s">
        <v>11</v>
      </c>
      <c r="B4" s="4">
        <f>SUM(Cell!L3:L1048576)/'Cross-layer'!B24</f>
        <v>1.0094673452792554E-2</v>
      </c>
      <c r="C4" t="s">
        <v>5</v>
      </c>
      <c r="D4" s="11">
        <f>SUM(Cell!L3:L1048576)</f>
        <v>1.2921182019574469</v>
      </c>
      <c r="E4" t="s">
        <v>6</v>
      </c>
      <c r="F4" s="7">
        <f>SUM(Cell!M3:M1048576)</f>
        <v>29.458573560000001</v>
      </c>
      <c r="G4" t="s">
        <v>7</v>
      </c>
      <c r="I4" t="s">
        <v>11</v>
      </c>
      <c r="J4">
        <v>1.46</v>
      </c>
      <c r="K4" t="s">
        <v>6</v>
      </c>
      <c r="L4" t="s">
        <v>11</v>
      </c>
      <c r="M4" s="4">
        <f>J4/'Cross-layer'!$B$24</f>
        <v>1.140625E-2</v>
      </c>
      <c r="N4" s="12">
        <f>B4</f>
        <v>1.0094673452792554E-2</v>
      </c>
      <c r="O4" t="s">
        <v>5</v>
      </c>
    </row>
    <row r="5" spans="1:15" x14ac:dyDescent="0.25">
      <c r="A5" t="s">
        <v>12</v>
      </c>
      <c r="B5" s="4">
        <f>SUM(Frame!M3:M1048576)/'Cross-layer'!B24</f>
        <v>4.2479523538517687E-2</v>
      </c>
      <c r="C5" t="s">
        <v>5</v>
      </c>
      <c r="D5" s="11">
        <f>SUM(Frame!M3:M1048576)</f>
        <v>5.4373790129302639</v>
      </c>
      <c r="E5" t="s">
        <v>6</v>
      </c>
      <c r="F5" s="7">
        <f>SUM(Frame!N3:N1048576)</f>
        <v>331.90539199999995</v>
      </c>
      <c r="G5" t="s">
        <v>7</v>
      </c>
      <c r="I5" t="s">
        <v>13</v>
      </c>
      <c r="J5">
        <v>5.51</v>
      </c>
      <c r="K5" t="s">
        <v>6</v>
      </c>
      <c r="L5" t="s">
        <v>13</v>
      </c>
      <c r="M5" s="4">
        <f>J5/'Cross-layer'!$B$24</f>
        <v>4.3046874999999998E-2</v>
      </c>
      <c r="N5" s="12">
        <f>B5</f>
        <v>4.2479523538517687E-2</v>
      </c>
      <c r="O5" t="s">
        <v>5</v>
      </c>
    </row>
    <row r="6" spans="1:15" x14ac:dyDescent="0.25">
      <c r="A6" t="s">
        <v>14</v>
      </c>
      <c r="B6" s="4">
        <f>SUM(Misc!L3:L1048576)/'Cross-layer'!B24</f>
        <v>2.0919460701268034E-2</v>
      </c>
      <c r="C6" t="s">
        <v>5</v>
      </c>
      <c r="D6" s="11">
        <f>SUM(Misc!L3:L1048576)</f>
        <v>2.6776909697623084</v>
      </c>
      <c r="E6" t="s">
        <v>6</v>
      </c>
      <c r="F6" s="7">
        <f>SUM(Misc!M3:M1048576)</f>
        <v>19.504338005031055</v>
      </c>
      <c r="G6" t="s">
        <v>7</v>
      </c>
      <c r="I6" t="s">
        <v>15</v>
      </c>
      <c r="J6">
        <v>3.43</v>
      </c>
      <c r="K6" t="s">
        <v>6</v>
      </c>
      <c r="L6" t="s">
        <v>15</v>
      </c>
      <c r="M6" s="4">
        <f>J6/'Cross-layer'!$B$24</f>
        <v>2.6796875000000001E-2</v>
      </c>
      <c r="N6" s="12">
        <f>B6</f>
        <v>2.0919460701268034E-2</v>
      </c>
      <c r="O6" t="s">
        <v>5</v>
      </c>
    </row>
    <row r="7" spans="1:15" ht="15.75" x14ac:dyDescent="0.25">
      <c r="A7" t="s">
        <v>16</v>
      </c>
      <c r="B7" s="4">
        <f>D7/'Cross-layer'!B24</f>
        <v>2.4749939935425E-2</v>
      </c>
      <c r="C7" t="s">
        <v>5</v>
      </c>
      <c r="D7" s="11">
        <f>SUM('Manufacturing calc'!U:U)</f>
        <v>3.1679923117344</v>
      </c>
      <c r="E7" t="s">
        <v>6</v>
      </c>
      <c r="I7" t="s">
        <v>17</v>
      </c>
      <c r="J7" s="25">
        <v>1.44</v>
      </c>
      <c r="K7" t="s">
        <v>6</v>
      </c>
      <c r="L7" t="s">
        <v>17</v>
      </c>
      <c r="M7" s="4">
        <f>J7/'Cross-layer'!$B$24</f>
        <v>1.125E-2</v>
      </c>
      <c r="N7" s="12">
        <f>B8</f>
        <v>9.0528157204475199E-3</v>
      </c>
      <c r="O7" t="s">
        <v>5</v>
      </c>
    </row>
    <row r="8" spans="1:15" ht="15.75" x14ac:dyDescent="0.25">
      <c r="A8" t="s">
        <v>18</v>
      </c>
      <c r="B8" s="4">
        <f>D8/'Cross-layer'!B25</f>
        <v>9.0528157204475199E-3</v>
      </c>
      <c r="C8" t="s">
        <v>5</v>
      </c>
      <c r="D8" s="11">
        <f>SUM('Manufacturing calc'!V:V)</f>
        <v>1.3850808052284707</v>
      </c>
      <c r="E8" t="s">
        <v>6</v>
      </c>
      <c r="I8" t="s">
        <v>19</v>
      </c>
      <c r="J8" s="25">
        <v>4.16</v>
      </c>
      <c r="K8" t="s">
        <v>6</v>
      </c>
      <c r="L8" t="s">
        <v>19</v>
      </c>
      <c r="M8" s="4">
        <f>J8/'Cross-layer'!$B$24</f>
        <v>3.2500000000000001E-2</v>
      </c>
      <c r="N8" s="4">
        <f>B9+B7</f>
        <v>2.9286765223711961E-2</v>
      </c>
      <c r="O8" t="s">
        <v>5</v>
      </c>
    </row>
    <row r="9" spans="1:15" x14ac:dyDescent="0.25">
      <c r="A9" t="s">
        <v>20</v>
      </c>
      <c r="B9" s="4">
        <f>D9/'Cross-layer'!B26</f>
        <v>4.5368252882869607E-3</v>
      </c>
      <c r="C9" t="s">
        <v>5</v>
      </c>
      <c r="D9" s="11">
        <f>SUM('Manufacturing calc'!W:W)</f>
        <v>1.1180552240454384</v>
      </c>
      <c r="E9" t="s">
        <v>6</v>
      </c>
    </row>
    <row r="12" spans="1:15" x14ac:dyDescent="0.25">
      <c r="A12" t="s">
        <v>21</v>
      </c>
    </row>
    <row r="13" spans="1:15" x14ac:dyDescent="0.25">
      <c r="A13" s="1" t="s">
        <v>22</v>
      </c>
      <c r="B13" t="s">
        <v>5</v>
      </c>
      <c r="C13" t="s">
        <v>6</v>
      </c>
    </row>
    <row r="14" spans="1:15" x14ac:dyDescent="0.25">
      <c r="A14" t="s">
        <v>23</v>
      </c>
      <c r="B14" s="4">
        <f>Cell!L3/'Cross-layer'!$B$24</f>
        <v>1.290159574468085E-3</v>
      </c>
      <c r="C14" s="11">
        <f>B14*'Cross-layer'!$B$24</f>
        <v>0.16514042553191488</v>
      </c>
    </row>
    <row r="15" spans="1:15" x14ac:dyDescent="0.25">
      <c r="A15" t="s">
        <v>24</v>
      </c>
      <c r="B15" s="4">
        <f>Cell!L4/'Cross-layer'!$B$24</f>
        <v>2.58031914893617E-3</v>
      </c>
      <c r="C15" s="11">
        <f>B15*'Cross-layer'!$B$24</f>
        <v>0.33028085106382976</v>
      </c>
    </row>
    <row r="16" spans="1:15" x14ac:dyDescent="0.25">
      <c r="A16" t="s">
        <v>25</v>
      </c>
      <c r="B16" s="4">
        <f>Cell!L6/'Cross-layer'!$B$24</f>
        <v>1.1951853390957453E-3</v>
      </c>
      <c r="C16" s="11">
        <f>B16*'Cross-layer'!$B$24</f>
        <v>0.1529837234042554</v>
      </c>
    </row>
    <row r="17" spans="1:6" x14ac:dyDescent="0.25">
      <c r="A17" t="s">
        <v>26</v>
      </c>
      <c r="B17" s="4">
        <f>Cell!L7/'Cross-layer'!$B$24</f>
        <v>2.4033410904255326E-4</v>
      </c>
      <c r="C17" s="11">
        <f>B17*'Cross-layer'!$B$24</f>
        <v>3.0762765957446817E-2</v>
      </c>
    </row>
    <row r="18" spans="1:6" x14ac:dyDescent="0.25">
      <c r="A18" t="s">
        <v>27</v>
      </c>
      <c r="B18" s="4">
        <f>(Cell!L8+Cell!L9)/'Cross-layer'!$B$24</f>
        <v>1.1886782613031914E-4</v>
      </c>
      <c r="C18" s="11">
        <f>B18*'Cross-layer'!$B$24</f>
        <v>1.521508174468085E-2</v>
      </c>
    </row>
    <row r="19" spans="1:6" x14ac:dyDescent="0.25">
      <c r="A19" t="s">
        <v>28</v>
      </c>
      <c r="B19" s="4">
        <f>(Cell!L10+Cell!L11)/'Cross-layer'!$B$24</f>
        <v>4.6698074551196813E-3</v>
      </c>
      <c r="C19" s="11">
        <f>B19*'Cross-layer'!$B$24</f>
        <v>0.59773535425531921</v>
      </c>
    </row>
    <row r="21" spans="1:6" x14ac:dyDescent="0.25">
      <c r="A21" s="1" t="s">
        <v>29</v>
      </c>
      <c r="B21" t="s">
        <v>5</v>
      </c>
      <c r="C21" t="s">
        <v>6</v>
      </c>
    </row>
    <row r="22" spans="1:6" x14ac:dyDescent="0.25">
      <c r="A22" t="s">
        <v>30</v>
      </c>
      <c r="B22" s="4">
        <f>(Frame!M3+Frame!M4)/'Cross-layer'!B24</f>
        <v>8.8048579935864537E-3</v>
      </c>
      <c r="C22" s="11">
        <f>B22*'Cross-layer'!$B$24</f>
        <v>1.1270218231790661</v>
      </c>
    </row>
    <row r="23" spans="1:6" x14ac:dyDescent="0.25">
      <c r="A23" t="s">
        <v>31</v>
      </c>
      <c r="B23" s="4">
        <f>(Frame!M6+Frame!M7+Frame!M8)/'Cross-layer'!B24</f>
        <v>2.8433651883716764E-2</v>
      </c>
      <c r="C23" s="11">
        <f>B23*'Cross-layer'!$B$24</f>
        <v>3.6395074411157458</v>
      </c>
    </row>
    <row r="24" spans="1:6" x14ac:dyDescent="0.25">
      <c r="A24" t="s">
        <v>32</v>
      </c>
      <c r="B24" s="4">
        <f>Frame!M5/'Cross-layer'!B24</f>
        <v>5.6153717798726455E-4</v>
      </c>
      <c r="C24" s="11">
        <f>B24*'Cross-layer'!$B$24</f>
        <v>7.1876758782369862E-2</v>
      </c>
    </row>
    <row r="25" spans="1:6" x14ac:dyDescent="0.25">
      <c r="A25" t="s">
        <v>33</v>
      </c>
      <c r="B25" s="4">
        <f>Frame!M9/'Cross-layer'!B24</f>
        <v>4.679476483227204E-3</v>
      </c>
      <c r="C25" s="11">
        <f>B25*'Cross-layer'!$B$24</f>
        <v>0.59897298985308212</v>
      </c>
    </row>
    <row r="27" spans="1:6" x14ac:dyDescent="0.25">
      <c r="A27" s="1" t="s">
        <v>34</v>
      </c>
      <c r="B27" t="s">
        <v>5</v>
      </c>
      <c r="C27" t="s">
        <v>6</v>
      </c>
    </row>
    <row r="28" spans="1:6" x14ac:dyDescent="0.25">
      <c r="A28" t="s">
        <v>35</v>
      </c>
      <c r="B28" s="4">
        <f>Misc!L3/'Cross-layer'!$B$24</f>
        <v>3.4524560103188036E-3</v>
      </c>
      <c r="C28" s="7">
        <f>Misc!L3</f>
        <v>0.44191436932080685</v>
      </c>
    </row>
    <row r="29" spans="1:6" x14ac:dyDescent="0.25">
      <c r="A29" t="s">
        <v>36</v>
      </c>
      <c r="B29" s="4">
        <f>Misc!L4/'Cross-layer'!$B$24</f>
        <v>1.4767004690949229E-2</v>
      </c>
      <c r="C29" s="7">
        <f>Misc!L4</f>
        <v>1.8901766004415013</v>
      </c>
    </row>
    <row r="30" spans="1:6" x14ac:dyDescent="0.25">
      <c r="A30" t="s">
        <v>37</v>
      </c>
      <c r="B30" s="4">
        <f>Misc!L5/'Cross-layer'!$B$24</f>
        <v>2.7000000000000001E-3</v>
      </c>
      <c r="C30" s="7">
        <f>Misc!L5</f>
        <v>0.34560000000000002</v>
      </c>
    </row>
    <row r="32" spans="1:6" x14ac:dyDescent="0.25">
      <c r="A32" s="1" t="s">
        <v>38</v>
      </c>
      <c r="B32" s="1" t="s">
        <v>39</v>
      </c>
      <c r="C32" s="1" t="s">
        <v>17</v>
      </c>
      <c r="D32" s="1" t="s">
        <v>40</v>
      </c>
      <c r="E32" s="1" t="s">
        <v>41</v>
      </c>
      <c r="F32" s="1" t="s">
        <v>5</v>
      </c>
    </row>
    <row r="33" spans="1:6" x14ac:dyDescent="0.25">
      <c r="A33" t="s">
        <v>42</v>
      </c>
      <c r="B33" s="11">
        <f>SUMIF('Manufacturing calc'!$B:$B,Results!$A33,'Manufacturing calc'!U:U)</f>
        <v>0.98732816355066488</v>
      </c>
      <c r="C33" s="11">
        <f>SUMIF('Manufacturing calc'!$B:$B,Results!$A33,'Manufacturing calc'!V:V)</f>
        <v>0.17347764253503312</v>
      </c>
      <c r="D33" s="11">
        <f>SUMIF('Manufacturing calc'!$B:$B,Results!$A33,'Manufacturing calc'!W:W)</f>
        <v>0.23159411870318822</v>
      </c>
      <c r="E33" s="7">
        <f>SUM(B33:D33)</f>
        <v>1.3923999247888863</v>
      </c>
      <c r="F33" s="4">
        <f>E33/'Cross-layer'!$B$26</f>
        <v>5.6500565037692196E-3</v>
      </c>
    </row>
    <row r="34" spans="1:6" x14ac:dyDescent="0.25">
      <c r="A34" t="s">
        <v>43</v>
      </c>
      <c r="B34" s="11">
        <f>SUMIF('Manufacturing calc'!$B:$B,Results!$A34,'Manufacturing calc'!U:U)</f>
        <v>0.54593428884084649</v>
      </c>
      <c r="C34" s="11">
        <f>SUMIF('Manufacturing calc'!$B:$B,Results!$A34,'Manufacturing calc'!V:V)</f>
        <v>0</v>
      </c>
      <c r="D34" s="11">
        <f>SUMIF('Manufacturing calc'!$B:$B,Results!$A34,'Manufacturing calc'!W:W)</f>
        <v>0</v>
      </c>
      <c r="E34" s="7">
        <f>SUM(B34:D34)</f>
        <v>0.54593428884084649</v>
      </c>
      <c r="F34" s="4">
        <f>E34/'Cross-layer'!$B$26</f>
        <v>2.2152827821816531E-3</v>
      </c>
    </row>
    <row r="35" spans="1:6" x14ac:dyDescent="0.25">
      <c r="A35" t="s">
        <v>44</v>
      </c>
      <c r="B35" s="11">
        <f>SUMIF('Manufacturing calc'!$B:$B,Results!$A35,'Manufacturing calc'!U:U)</f>
        <v>0.75987474239553043</v>
      </c>
      <c r="C35" s="11">
        <f>SUMIF('Manufacturing calc'!$B:$B,Results!$A35,'Manufacturing calc'!V:V)</f>
        <v>0.56701944363671597</v>
      </c>
      <c r="D35" s="11">
        <f>SUMIF('Manufacturing calc'!$B:$B,Results!$A35,'Manufacturing calc'!W:W)</f>
        <v>0.30928637238325291</v>
      </c>
      <c r="E35" s="7">
        <f>SUM(B35:D35)</f>
        <v>1.6361805584154991</v>
      </c>
      <c r="F35" s="4">
        <f>E35/'Cross-layer'!$B$26</f>
        <v>6.6392653725673564E-3</v>
      </c>
    </row>
    <row r="36" spans="1:6" x14ac:dyDescent="0.25">
      <c r="A36" t="s">
        <v>45</v>
      </c>
      <c r="B36" s="11">
        <f>SUMIF('Manufacturing calc'!$B:$B,Results!$A36,'Manufacturing calc'!U:U)</f>
        <v>0.48458883817759629</v>
      </c>
      <c r="C36" s="11">
        <f>SUMIF('Manufacturing calc'!$B:$B,Results!$A36,'Manufacturing calc'!V:V)</f>
        <v>0.30057487927771603</v>
      </c>
      <c r="D36" s="11">
        <f>SUMIF('Manufacturing calc'!$B:$B,Results!$A36,'Manufacturing calc'!W:W)</f>
        <v>9.3928251565575244E-2</v>
      </c>
      <c r="E36" s="7">
        <f>SUM(B36:D36)</f>
        <v>0.8790919690208876</v>
      </c>
      <c r="F36" s="4">
        <f>E36/'Cross-layer'!$B$26</f>
        <v>3.5671642956536589E-3</v>
      </c>
    </row>
    <row r="37" spans="1:6" x14ac:dyDescent="0.25">
      <c r="A37" t="s">
        <v>46</v>
      </c>
      <c r="B37" s="11">
        <f>SUMIF('Manufacturing calc'!$B:$B,Results!$A37,'Manufacturing calc'!U:U)</f>
        <v>0.39026627876976178</v>
      </c>
      <c r="C37" s="11">
        <f>SUMIF('Manufacturing calc'!$B:$B,Results!$A37,'Manufacturing calc'!V:V)</f>
        <v>0.34400883977900554</v>
      </c>
      <c r="D37" s="11">
        <f>SUMIF('Manufacturing calc'!$B:$B,Results!$A37,'Manufacturing calc'!W:W)</f>
        <v>0.48324648139342208</v>
      </c>
      <c r="E37" s="7">
        <f>SUM(B37:D37)</f>
        <v>1.2175215999421893</v>
      </c>
      <c r="F37" s="4">
        <f>E37/'Cross-layer'!$B$26</f>
        <v>4.9404382403107835E-3</v>
      </c>
    </row>
  </sheetData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629C-82D3-4F44-A765-EB0819B2F073}">
  <sheetPr>
    <tabColor theme="6"/>
  </sheetPr>
  <dimension ref="A1:J42"/>
  <sheetViews>
    <sheetView topLeftCell="A19" workbookViewId="0">
      <selection activeCell="B39" sqref="B39"/>
    </sheetView>
  </sheetViews>
  <sheetFormatPr defaultRowHeight="15" x14ac:dyDescent="0.25"/>
  <cols>
    <col min="1" max="1" width="39.7109375" bestFit="1" customWidth="1"/>
    <col min="2" max="2" width="12.5703125" bestFit="1" customWidth="1"/>
    <col min="3" max="3" width="9.7109375" bestFit="1" customWidth="1"/>
    <col min="6" max="6" width="24.85546875" customWidth="1"/>
    <col min="7" max="7" width="12.28515625" customWidth="1"/>
    <col min="8" max="8" width="13.42578125" customWidth="1"/>
    <col min="9" max="9" width="11.42578125" customWidth="1"/>
  </cols>
  <sheetData>
    <row r="1" spans="1:10" x14ac:dyDescent="0.25">
      <c r="A1" t="s">
        <v>47</v>
      </c>
      <c r="B1" s="23">
        <v>5000</v>
      </c>
      <c r="C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</row>
    <row r="2" spans="1:10" x14ac:dyDescent="0.25">
      <c r="A2" t="s">
        <v>54</v>
      </c>
      <c r="B2">
        <f>0.2/B1</f>
        <v>4.0000000000000003E-5</v>
      </c>
      <c r="F2" t="s">
        <v>55</v>
      </c>
      <c r="G2">
        <v>1</v>
      </c>
      <c r="H2">
        <v>7.5</v>
      </c>
      <c r="I2" s="16">
        <f>$B$12*Max_cycle_table[[#This Row],[Shifts/day]]*Max_cycle_table[[#This Row],[Hours/shift]]*$B$11</f>
        <v>1434.375</v>
      </c>
      <c r="J2" s="18">
        <f>ROUND(I2*60^2/$B$14,1)</f>
        <v>5.7</v>
      </c>
    </row>
    <row r="3" spans="1:10" x14ac:dyDescent="0.25">
      <c r="A3" t="s">
        <v>56</v>
      </c>
      <c r="B3" s="7">
        <f>'Cross-layer'!B27</f>
        <v>3.0166666666666666</v>
      </c>
      <c r="F3" t="s">
        <v>57</v>
      </c>
      <c r="G3">
        <v>3</v>
      </c>
      <c r="H3">
        <v>7.5</v>
      </c>
      <c r="I3" s="16">
        <f>$B$12*Max_cycle_table[[#This Row],[Shifts/day]]*Max_cycle_table[[#This Row],[Hours/shift]]*$B$11</f>
        <v>4303.125</v>
      </c>
      <c r="J3" s="18">
        <f>ROUND(I3*60^2/$B$14,1)</f>
        <v>17.100000000000001</v>
      </c>
    </row>
    <row r="4" spans="1:10" x14ac:dyDescent="0.25">
      <c r="A4" t="s">
        <v>58</v>
      </c>
      <c r="B4">
        <f>'Cross-layer'!B3</f>
        <v>60</v>
      </c>
      <c r="F4" t="s">
        <v>59</v>
      </c>
      <c r="G4">
        <v>3</v>
      </c>
      <c r="H4">
        <v>8</v>
      </c>
      <c r="I4" s="16">
        <f>$B$12*Max_cycle_table[[#This Row],[Shifts/day]]*Max_cycle_table[[#This Row],[Hours/shift]]*$B$11</f>
        <v>4590</v>
      </c>
      <c r="J4" s="18">
        <f>ROUND(I4*60^2/$B$14,1)</f>
        <v>18.3</v>
      </c>
    </row>
    <row r="5" spans="1:10" x14ac:dyDescent="0.25">
      <c r="A5" t="s">
        <v>60</v>
      </c>
      <c r="B5">
        <f>B3*B4</f>
        <v>181</v>
      </c>
      <c r="F5" t="s">
        <v>61</v>
      </c>
      <c r="G5">
        <v>1</v>
      </c>
      <c r="H5">
        <v>7.5</v>
      </c>
      <c r="I5" s="16">
        <f>$B$12*Max_cycle_table[[#This Row],[Shifts/day]]*Max_cycle_table[[#This Row],[Hours/shift]]*$B$11</f>
        <v>1434.375</v>
      </c>
      <c r="J5" s="27">
        <f>ROUND(I5*60^2/(B3*B1),1)</f>
        <v>342.3</v>
      </c>
    </row>
    <row r="6" spans="1:10" x14ac:dyDescent="0.25">
      <c r="A6" t="s">
        <v>62</v>
      </c>
      <c r="B6" s="23">
        <v>0.17</v>
      </c>
      <c r="C6" t="s">
        <v>63</v>
      </c>
    </row>
    <row r="7" spans="1:10" x14ac:dyDescent="0.25">
      <c r="A7" t="s">
        <v>64</v>
      </c>
      <c r="B7">
        <f>B6*B5</f>
        <v>30.770000000000003</v>
      </c>
      <c r="C7" t="s">
        <v>63</v>
      </c>
    </row>
    <row r="8" spans="1:10" x14ac:dyDescent="0.25">
      <c r="A8" s="9" t="s">
        <v>65</v>
      </c>
      <c r="B8" s="10">
        <f>B7/3600</f>
        <v>8.5472222222222234E-3</v>
      </c>
      <c r="C8" t="s">
        <v>66</v>
      </c>
    </row>
    <row r="9" spans="1:10" x14ac:dyDescent="0.25">
      <c r="A9" s="9" t="s">
        <v>67</v>
      </c>
      <c r="B9" s="20">
        <v>86480</v>
      </c>
      <c r="C9" t="s">
        <v>68</v>
      </c>
    </row>
    <row r="10" spans="1:10" x14ac:dyDescent="0.25">
      <c r="A10" s="9"/>
      <c r="B10" s="10"/>
    </row>
    <row r="11" spans="1:10" x14ac:dyDescent="0.25">
      <c r="A11" t="s">
        <v>69</v>
      </c>
      <c r="B11" s="28">
        <v>0.85</v>
      </c>
      <c r="C11" t="s">
        <v>70</v>
      </c>
    </row>
    <row r="12" spans="1:10" x14ac:dyDescent="0.25">
      <c r="A12" t="s">
        <v>71</v>
      </c>
      <c r="B12" s="23">
        <v>225</v>
      </c>
      <c r="C12" t="s">
        <v>72</v>
      </c>
    </row>
    <row r="14" spans="1:10" x14ac:dyDescent="0.25">
      <c r="A14" t="s">
        <v>73</v>
      </c>
      <c r="B14">
        <f>B1*B5</f>
        <v>905000</v>
      </c>
      <c r="C14" t="s">
        <v>74</v>
      </c>
    </row>
    <row r="16" spans="1:10" x14ac:dyDescent="0.25">
      <c r="A16" t="s">
        <v>75</v>
      </c>
      <c r="B16" t="s">
        <v>76</v>
      </c>
    </row>
    <row r="17" spans="1:3" x14ac:dyDescent="0.25">
      <c r="A17" t="s">
        <v>77</v>
      </c>
      <c r="B17" s="5">
        <f>'Cross-layer'!B25*B25</f>
        <v>1</v>
      </c>
      <c r="C17" s="11"/>
    </row>
    <row r="18" spans="1:3" x14ac:dyDescent="0.25">
      <c r="A18" t="s">
        <v>78</v>
      </c>
      <c r="B18" s="5">
        <f>B27*'Cross-layer'!B4</f>
        <v>1</v>
      </c>
      <c r="C18" s="11"/>
    </row>
    <row r="19" spans="1:3" x14ac:dyDescent="0.25">
      <c r="A19" t="s">
        <v>13</v>
      </c>
      <c r="B19" s="5">
        <f>B26*'Cross-layer'!B26</f>
        <v>0.99210950080515281</v>
      </c>
      <c r="C19" s="11"/>
    </row>
    <row r="20" spans="1:3" x14ac:dyDescent="0.25">
      <c r="A20" t="s">
        <v>79</v>
      </c>
      <c r="B20" s="5">
        <f>B24*B5</f>
        <v>0.99889624724061821</v>
      </c>
      <c r="C20" s="11"/>
    </row>
    <row r="22" spans="1:3" x14ac:dyDescent="0.25">
      <c r="A22" t="s">
        <v>80</v>
      </c>
    </row>
    <row r="24" spans="1:3" x14ac:dyDescent="0.25">
      <c r="A24" t="s">
        <v>81</v>
      </c>
      <c r="B24" s="11">
        <f>1/B42</f>
        <v>5.5187637969094927E-3</v>
      </c>
    </row>
    <row r="25" spans="1:3" x14ac:dyDescent="0.25">
      <c r="A25" t="s">
        <v>82</v>
      </c>
      <c r="B25" s="11">
        <f>1/B38</f>
        <v>6.5359477124183009E-3</v>
      </c>
    </row>
    <row r="26" spans="1:3" x14ac:dyDescent="0.25">
      <c r="A26" t="s">
        <v>83</v>
      </c>
      <c r="B26" s="11">
        <f>1/B39</f>
        <v>4.0257648953301124E-3</v>
      </c>
    </row>
    <row r="27" spans="1:3" x14ac:dyDescent="0.25">
      <c r="A27" t="s">
        <v>84</v>
      </c>
      <c r="B27" s="11">
        <f>1/B34</f>
        <v>6.25E-2</v>
      </c>
    </row>
    <row r="29" spans="1:3" ht="15.75" x14ac:dyDescent="0.25">
      <c r="A29" s="2" t="s">
        <v>85</v>
      </c>
    </row>
    <row r="31" spans="1:3" x14ac:dyDescent="0.25">
      <c r="A31" t="s">
        <v>86</v>
      </c>
    </row>
    <row r="32" spans="1:3" x14ac:dyDescent="0.25">
      <c r="A32" t="s">
        <v>87</v>
      </c>
      <c r="B32">
        <v>18</v>
      </c>
      <c r="C32" t="s">
        <v>88</v>
      </c>
    </row>
    <row r="33" spans="1:3" x14ac:dyDescent="0.25">
      <c r="A33" t="s">
        <v>89</v>
      </c>
      <c r="B33">
        <v>13.8</v>
      </c>
      <c r="C33" t="s">
        <v>88</v>
      </c>
    </row>
    <row r="34" spans="1:3" x14ac:dyDescent="0.25">
      <c r="A34" t="s">
        <v>90</v>
      </c>
      <c r="B34">
        <v>16</v>
      </c>
      <c r="C34" t="s">
        <v>88</v>
      </c>
    </row>
    <row r="35" spans="1:3" x14ac:dyDescent="0.25">
      <c r="A35" t="s">
        <v>91</v>
      </c>
      <c r="B35">
        <v>8</v>
      </c>
      <c r="C35" t="s">
        <v>88</v>
      </c>
    </row>
    <row r="36" spans="1:3" x14ac:dyDescent="0.25">
      <c r="A36" t="s">
        <v>92</v>
      </c>
      <c r="B36">
        <v>60</v>
      </c>
    </row>
    <row r="37" spans="1:3" x14ac:dyDescent="0.25">
      <c r="A37" t="s">
        <v>93</v>
      </c>
      <c r="B37">
        <f>B34*B35</f>
        <v>128</v>
      </c>
      <c r="C37" t="s">
        <v>94</v>
      </c>
    </row>
    <row r="38" spans="1:3" x14ac:dyDescent="0.25">
      <c r="A38" t="s">
        <v>95</v>
      </c>
      <c r="B38" s="15">
        <f>(B34+'Cross-layer'!B6)*('Manufacturing inputs'!B35+'Cross-layer'!B6)</f>
        <v>153</v>
      </c>
    </row>
    <row r="39" spans="1:3" x14ac:dyDescent="0.25">
      <c r="A39" t="s">
        <v>96</v>
      </c>
      <c r="B39" s="16">
        <f>B32*B33</f>
        <v>248.4</v>
      </c>
      <c r="C39" t="s">
        <v>94</v>
      </c>
    </row>
    <row r="40" spans="1:3" x14ac:dyDescent="0.25">
      <c r="A40" t="s">
        <v>97</v>
      </c>
      <c r="B40" s="3">
        <f>B38/B37</f>
        <v>1.1953125</v>
      </c>
    </row>
    <row r="41" spans="1:3" x14ac:dyDescent="0.25">
      <c r="A41" t="s">
        <v>98</v>
      </c>
      <c r="B41" s="11">
        <f>B39/B37</f>
        <v>1.940625</v>
      </c>
    </row>
    <row r="42" spans="1:3" x14ac:dyDescent="0.25">
      <c r="A42" t="s">
        <v>60</v>
      </c>
      <c r="B42" s="3">
        <f>B36*3.02</f>
        <v>181.2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9DE13-35D3-467C-A481-9919BC8D3793}">
  <sheetPr>
    <tabColor theme="6"/>
  </sheetPr>
  <dimension ref="A1:C38"/>
  <sheetViews>
    <sheetView topLeftCell="A3" zoomScale="150" workbookViewId="0">
      <selection activeCell="B19" sqref="B19"/>
    </sheetView>
  </sheetViews>
  <sheetFormatPr defaultColWidth="8.85546875" defaultRowHeight="15" x14ac:dyDescent="0.25"/>
  <cols>
    <col min="1" max="1" width="30.28515625" bestFit="1" customWidth="1"/>
    <col min="2" max="2" width="10.7109375" bestFit="1" customWidth="1"/>
  </cols>
  <sheetData>
    <row r="1" spans="1:3" x14ac:dyDescent="0.25">
      <c r="A1" s="1" t="s">
        <v>99</v>
      </c>
      <c r="B1" t="s">
        <v>100</v>
      </c>
      <c r="C1" t="s">
        <v>1</v>
      </c>
    </row>
    <row r="2" spans="1:3" x14ac:dyDescent="0.25">
      <c r="A2" t="s">
        <v>101</v>
      </c>
      <c r="B2">
        <v>1</v>
      </c>
    </row>
    <row r="3" spans="1:3" x14ac:dyDescent="0.25">
      <c r="A3" t="s">
        <v>58</v>
      </c>
      <c r="B3">
        <v>60</v>
      </c>
    </row>
    <row r="4" spans="1:3" x14ac:dyDescent="0.25">
      <c r="A4" t="s">
        <v>78</v>
      </c>
      <c r="B4">
        <v>16</v>
      </c>
      <c r="C4" t="s">
        <v>88</v>
      </c>
    </row>
    <row r="5" spans="1:3" x14ac:dyDescent="0.25">
      <c r="A5" t="s">
        <v>102</v>
      </c>
      <c r="B5">
        <v>8</v>
      </c>
      <c r="C5" t="s">
        <v>88</v>
      </c>
    </row>
    <row r="6" spans="1:3" x14ac:dyDescent="0.25">
      <c r="A6" t="s">
        <v>103</v>
      </c>
      <c r="B6">
        <v>1</v>
      </c>
      <c r="C6" t="s">
        <v>88</v>
      </c>
    </row>
    <row r="7" spans="1:3" x14ac:dyDescent="0.25">
      <c r="A7" t="s">
        <v>104</v>
      </c>
      <c r="B7">
        <v>3.2</v>
      </c>
      <c r="C7" t="s">
        <v>88</v>
      </c>
    </row>
    <row r="8" spans="1:3" x14ac:dyDescent="0.25">
      <c r="A8" s="1" t="s">
        <v>105</v>
      </c>
    </row>
    <row r="9" spans="1:3" x14ac:dyDescent="0.25">
      <c r="A9" t="s">
        <v>106</v>
      </c>
      <c r="B9">
        <v>300</v>
      </c>
      <c r="C9" t="s">
        <v>107</v>
      </c>
    </row>
    <row r="10" spans="1:3" x14ac:dyDescent="0.25">
      <c r="A10" t="s">
        <v>108</v>
      </c>
      <c r="B10">
        <v>600</v>
      </c>
      <c r="C10" t="s">
        <v>107</v>
      </c>
    </row>
    <row r="11" spans="1:3" x14ac:dyDescent="0.25">
      <c r="A11" t="s">
        <v>109</v>
      </c>
      <c r="B11">
        <v>5000</v>
      </c>
      <c r="C11" t="s">
        <v>107</v>
      </c>
    </row>
    <row r="12" spans="1:3" x14ac:dyDescent="0.25">
      <c r="A12" t="s">
        <v>110</v>
      </c>
      <c r="B12" s="17">
        <f>IF(B18="Without",1,Calculations!B43)</f>
        <v>0.32204863216976831</v>
      </c>
    </row>
    <row r="13" spans="1:3" x14ac:dyDescent="0.25">
      <c r="A13" t="s">
        <v>111</v>
      </c>
      <c r="B13" s="17">
        <f>IF(B18="Without",1,Calculations!B35)</f>
        <v>0.94288940477161876</v>
      </c>
    </row>
    <row r="14" spans="1:3" x14ac:dyDescent="0.25">
      <c r="A14" t="s">
        <v>112</v>
      </c>
      <c r="B14" s="17">
        <v>0.08</v>
      </c>
    </row>
    <row r="15" spans="1:3" x14ac:dyDescent="0.25">
      <c r="A15" t="s">
        <v>113</v>
      </c>
      <c r="B15" s="17">
        <v>0.28000000000000003</v>
      </c>
    </row>
    <row r="16" spans="1:3" x14ac:dyDescent="0.25">
      <c r="A16" s="1" t="s">
        <v>114</v>
      </c>
    </row>
    <row r="17" spans="1:2" x14ac:dyDescent="0.25">
      <c r="A17" t="s">
        <v>115</v>
      </c>
      <c r="B17" t="s">
        <v>116</v>
      </c>
    </row>
    <row r="18" spans="1:2" x14ac:dyDescent="0.25">
      <c r="A18" t="s">
        <v>117</v>
      </c>
      <c r="B18" t="s">
        <v>118</v>
      </c>
    </row>
    <row r="19" spans="1:2" x14ac:dyDescent="0.25">
      <c r="A19" t="s">
        <v>282</v>
      </c>
      <c r="B19" s="19">
        <v>0.06</v>
      </c>
    </row>
    <row r="21" spans="1:2" x14ac:dyDescent="0.25">
      <c r="A21" t="s">
        <v>119</v>
      </c>
    </row>
    <row r="22" spans="1:2" x14ac:dyDescent="0.25">
      <c r="A22" t="s">
        <v>78</v>
      </c>
      <c r="B22" s="3">
        <f>B4+B6+B7</f>
        <v>20.2</v>
      </c>
    </row>
    <row r="23" spans="1:2" x14ac:dyDescent="0.25">
      <c r="A23" t="s">
        <v>102</v>
      </c>
      <c r="B23" s="3">
        <f>B5+B6+B7</f>
        <v>12.2</v>
      </c>
    </row>
    <row r="24" spans="1:2" x14ac:dyDescent="0.25">
      <c r="A24" t="s">
        <v>120</v>
      </c>
      <c r="B24" s="20">
        <f>B4*B5</f>
        <v>128</v>
      </c>
    </row>
    <row r="25" spans="1:2" x14ac:dyDescent="0.25">
      <c r="A25" t="s">
        <v>77</v>
      </c>
      <c r="B25" s="20">
        <f>(B4+B6)*(B5+B6)</f>
        <v>153</v>
      </c>
    </row>
    <row r="26" spans="1:2" x14ac:dyDescent="0.25">
      <c r="A26" t="s">
        <v>96</v>
      </c>
      <c r="B26" s="20">
        <f>(B4+B6+B7)*(B5+B6+B7)</f>
        <v>246.43999999999997</v>
      </c>
    </row>
    <row r="27" spans="1:2" x14ac:dyDescent="0.25">
      <c r="A27" t="s">
        <v>56</v>
      </c>
      <c r="B27" s="11">
        <f>181/B3</f>
        <v>3.0166666666666666</v>
      </c>
    </row>
    <row r="38" spans="2:2" x14ac:dyDescent="0.25">
      <c r="B38">
        <f>(B34+'Cross-layer'!B6)*('Manufacturing inputs'!B35+'Cross-layer'!B5)</f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C492-D5CB-4B3A-8CAC-097B6D1423E1}">
  <sheetPr>
    <tabColor theme="5"/>
  </sheetPr>
  <dimension ref="A1:O14"/>
  <sheetViews>
    <sheetView zoomScale="125" workbookViewId="0">
      <selection activeCell="I13" sqref="I13"/>
    </sheetView>
  </sheetViews>
  <sheetFormatPr defaultColWidth="8.85546875" defaultRowHeight="15" x14ac:dyDescent="0.25"/>
  <cols>
    <col min="1" max="1" width="16" bestFit="1" customWidth="1"/>
    <col min="2" max="2" width="11" customWidth="1"/>
    <col min="3" max="3" width="12.140625" customWidth="1"/>
    <col min="4" max="5" width="10.42578125" customWidth="1"/>
    <col min="6" max="6" width="15.28515625" bestFit="1" customWidth="1"/>
    <col min="7" max="7" width="9.85546875" customWidth="1"/>
    <col min="8" max="8" width="12.42578125" bestFit="1" customWidth="1"/>
    <col min="10" max="10" width="12" bestFit="1" customWidth="1"/>
    <col min="11" max="11" width="12.85546875" bestFit="1" customWidth="1"/>
  </cols>
  <sheetData>
    <row r="1" spans="1:15" x14ac:dyDescent="0.25">
      <c r="C1" t="s">
        <v>121</v>
      </c>
      <c r="D1" t="s">
        <v>122</v>
      </c>
      <c r="E1" t="s">
        <v>70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O1" t="s">
        <v>129</v>
      </c>
    </row>
    <row r="2" spans="1:15" x14ac:dyDescent="0.25">
      <c r="A2" t="s">
        <v>130</v>
      </c>
      <c r="B2" t="s">
        <v>131</v>
      </c>
      <c r="C2" t="s">
        <v>132</v>
      </c>
      <c r="D2" t="s">
        <v>133</v>
      </c>
      <c r="E2" t="s">
        <v>134</v>
      </c>
      <c r="F2" t="s">
        <v>135</v>
      </c>
      <c r="G2" t="s">
        <v>136</v>
      </c>
      <c r="H2" t="s">
        <v>137</v>
      </c>
      <c r="I2" t="s">
        <v>2</v>
      </c>
      <c r="J2" t="s">
        <v>138</v>
      </c>
      <c r="K2" t="s">
        <v>139</v>
      </c>
      <c r="L2" t="s">
        <v>140</v>
      </c>
      <c r="M2" t="s">
        <v>141</v>
      </c>
      <c r="O2" t="s">
        <v>142</v>
      </c>
    </row>
    <row r="3" spans="1:15" x14ac:dyDescent="0.25">
      <c r="A3" t="s">
        <v>23</v>
      </c>
      <c r="B3" t="s">
        <v>143</v>
      </c>
      <c r="C3">
        <f>_xlfn.XLOOKUP(B3,Tabel2[Material],Tabel2[Cost],"Not found")</f>
        <v>55</v>
      </c>
      <c r="D3">
        <v>50</v>
      </c>
      <c r="E3" s="19">
        <v>0.3</v>
      </c>
      <c r="F3" s="19">
        <v>1</v>
      </c>
      <c r="G3" s="19">
        <f>F3*(1-E3)</f>
        <v>0.7</v>
      </c>
      <c r="H3">
        <f>_xlfn.XLOOKUP(B3,Tabel2[Material],Tabel2[Density],"Not found")</f>
        <v>6.3</v>
      </c>
      <c r="I3" s="11">
        <f>H3*G3*D3/1000</f>
        <v>0.22049999999999997</v>
      </c>
      <c r="J3" s="7">
        <f>I3*C3</f>
        <v>12.127499999999998</v>
      </c>
      <c r="K3">
        <f>'Cross-layer'!$B$24</f>
        <v>128</v>
      </c>
      <c r="L3" s="24">
        <f>K3/100/100*J3/(1-'Cross-layer'!$B$19)</f>
        <v>0.16514042553191488</v>
      </c>
      <c r="M3" s="11">
        <f>K3/100/100*I3*1000</f>
        <v>2.8223999999999996</v>
      </c>
      <c r="O3" t="s">
        <v>144</v>
      </c>
    </row>
    <row r="4" spans="1:15" x14ac:dyDescent="0.25">
      <c r="A4" t="s">
        <v>24</v>
      </c>
      <c r="B4" t="s">
        <v>143</v>
      </c>
      <c r="C4">
        <f>_xlfn.XLOOKUP(B4,Tabel2[Material],Tabel2[Cost],"Not found")</f>
        <v>55</v>
      </c>
      <c r="D4">
        <v>100</v>
      </c>
      <c r="E4" s="19">
        <v>0.3</v>
      </c>
      <c r="F4" s="19">
        <v>1</v>
      </c>
      <c r="G4" s="19">
        <f t="shared" ref="G4" si="0">F4*(1-E4)</f>
        <v>0.7</v>
      </c>
      <c r="H4">
        <f>_xlfn.XLOOKUP(B4,Tabel2[Material],Tabel2[Density],"Not found")</f>
        <v>6.3</v>
      </c>
      <c r="I4" s="11">
        <f t="shared" ref="I4" si="1">H4*G4*D4/1000</f>
        <v>0.44099999999999995</v>
      </c>
      <c r="J4" s="7">
        <f t="shared" ref="J4" si="2">I4*C4</f>
        <v>24.254999999999995</v>
      </c>
      <c r="K4">
        <f>'Cross-layer'!$B$24</f>
        <v>128</v>
      </c>
      <c r="L4" s="24">
        <f>K4/100/100*J4/(1-'Cross-layer'!$B$19)</f>
        <v>0.33028085106382976</v>
      </c>
      <c r="M4" s="11">
        <f t="shared" ref="M4" si="3">K4/100/100*I4*1000</f>
        <v>5.6447999999999992</v>
      </c>
      <c r="O4" t="s">
        <v>145</v>
      </c>
    </row>
    <row r="5" spans="1:15" x14ac:dyDescent="0.25">
      <c r="B5" t="s">
        <v>146</v>
      </c>
      <c r="C5">
        <f>_xlfn.XLOOKUP(B5,Tabel2[Material],Tabel2[Cost],"Not found")</f>
        <v>260</v>
      </c>
      <c r="D5">
        <v>100</v>
      </c>
      <c r="E5" s="19">
        <v>0.3</v>
      </c>
      <c r="L5" s="24"/>
    </row>
    <row r="6" spans="1:15" x14ac:dyDescent="0.25">
      <c r="A6" t="s">
        <v>25</v>
      </c>
      <c r="B6" t="s">
        <v>146</v>
      </c>
      <c r="C6">
        <f>_xlfn.XLOOKUP(B6,Tabel2[Material],Tabel2[Cost],"Not found")</f>
        <v>260</v>
      </c>
      <c r="D6">
        <v>5</v>
      </c>
      <c r="E6" s="19">
        <v>0</v>
      </c>
      <c r="F6" s="19">
        <v>1</v>
      </c>
      <c r="G6" s="19">
        <f t="shared" ref="G6:G11" si="4">F6*(1-E6)</f>
        <v>1</v>
      </c>
      <c r="H6">
        <f>_xlfn.XLOOKUP(B6,Tabel2[Material],Tabel2[Density],"Not found")</f>
        <v>7.23</v>
      </c>
      <c r="I6" s="11">
        <f t="shared" ref="I6:I11" si="5">H6*G6*D6/1000</f>
        <v>3.6150000000000009E-2</v>
      </c>
      <c r="J6" s="7">
        <f t="shared" ref="J6:J11" si="6">I6*C6</f>
        <v>9.3990000000000027</v>
      </c>
      <c r="K6">
        <f>'Cross-layer'!$B$25</f>
        <v>153</v>
      </c>
      <c r="L6" s="24">
        <f>K6/100/100*J6/(1-'Cross-layer'!$B$19)</f>
        <v>0.1529837234042554</v>
      </c>
      <c r="M6" s="11">
        <f t="shared" ref="M6:M11" si="7">K6/100/100*I6*1000</f>
        <v>0.55309500000000023</v>
      </c>
    </row>
    <row r="7" spans="1:15" x14ac:dyDescent="0.25">
      <c r="A7" t="s">
        <v>26</v>
      </c>
      <c r="B7" t="s">
        <v>147</v>
      </c>
      <c r="C7">
        <f>_xlfn.XLOOKUP(B7,Tabel2[Material],Tabel2[Cost],"Not found")</f>
        <v>30</v>
      </c>
      <c r="D7">
        <v>10</v>
      </c>
      <c r="E7" s="19">
        <v>0</v>
      </c>
      <c r="F7" s="19">
        <v>1</v>
      </c>
      <c r="G7" s="19">
        <f t="shared" si="4"/>
        <v>1</v>
      </c>
      <c r="H7">
        <f>_xlfn.XLOOKUP(B7,Tabel2[Material],Tabel2[Density],"Not found")</f>
        <v>6.3</v>
      </c>
      <c r="I7" s="11">
        <f t="shared" si="5"/>
        <v>6.3E-2</v>
      </c>
      <c r="J7" s="7">
        <f t="shared" si="6"/>
        <v>1.8900000000000001</v>
      </c>
      <c r="K7">
        <f>'Cross-layer'!$B$25</f>
        <v>153</v>
      </c>
      <c r="L7" s="24">
        <f>K7/100/100*J7/(1-'Cross-layer'!$B$19)</f>
        <v>3.0762765957446817E-2</v>
      </c>
      <c r="M7" s="11">
        <f t="shared" si="7"/>
        <v>0.96390000000000009</v>
      </c>
    </row>
    <row r="8" spans="1:15" x14ac:dyDescent="0.25">
      <c r="A8" t="s">
        <v>27</v>
      </c>
      <c r="B8" t="s">
        <v>147</v>
      </c>
      <c r="C8">
        <f>_xlfn.XLOOKUP(B8,Tabel2[Material],Tabel2[Cost],"Not found")</f>
        <v>30</v>
      </c>
      <c r="D8">
        <v>7</v>
      </c>
      <c r="E8" s="19">
        <v>0.3</v>
      </c>
      <c r="F8" s="19">
        <v>0.6</v>
      </c>
      <c r="G8" s="19">
        <f t="shared" si="4"/>
        <v>0.42</v>
      </c>
      <c r="H8">
        <f>_xlfn.XLOOKUP(B8,Tabel2[Material],Tabel2[Density],"Not found")</f>
        <v>6.3</v>
      </c>
      <c r="I8" s="11">
        <f t="shared" si="5"/>
        <v>1.8521999999999997E-2</v>
      </c>
      <c r="J8" s="7">
        <f t="shared" si="6"/>
        <v>0.55565999999999993</v>
      </c>
      <c r="K8">
        <f>'Cross-layer'!$B$25</f>
        <v>153</v>
      </c>
      <c r="L8" s="24">
        <f>K8/100/100*J8/(1-'Cross-layer'!$B$19)</f>
        <v>9.0442531914893612E-3</v>
      </c>
      <c r="M8" s="11">
        <f t="shared" si="7"/>
        <v>0.28338659999999999</v>
      </c>
    </row>
    <row r="9" spans="1:15" x14ac:dyDescent="0.25">
      <c r="B9" t="s">
        <v>148</v>
      </c>
      <c r="C9">
        <f>_xlfn.XLOOKUP(B9,Tabel2[Material],Tabel2[Cost],"Not found")</f>
        <v>29</v>
      </c>
      <c r="D9">
        <v>7</v>
      </c>
      <c r="E9" s="19">
        <v>0.3</v>
      </c>
      <c r="F9" s="19">
        <v>0.4</v>
      </c>
      <c r="G9" s="19">
        <f t="shared" si="4"/>
        <v>0.27999999999999997</v>
      </c>
      <c r="H9">
        <f>_xlfn.XLOOKUP(B9,Tabel2[Material],Tabel2[Density],"Not found")</f>
        <v>6.67</v>
      </c>
      <c r="I9" s="11">
        <f t="shared" si="5"/>
        <v>1.3073199999999998E-2</v>
      </c>
      <c r="J9" s="7">
        <f t="shared" si="6"/>
        <v>0.37912279999999993</v>
      </c>
      <c r="K9">
        <f>'Cross-layer'!$B$25</f>
        <v>153</v>
      </c>
      <c r="L9" s="24">
        <f>K9/100/100*J9/(1-'Cross-layer'!$B$19)</f>
        <v>6.1708285531914889E-3</v>
      </c>
      <c r="M9" s="11">
        <f t="shared" si="7"/>
        <v>0.20001996</v>
      </c>
    </row>
    <row r="10" spans="1:15" x14ac:dyDescent="0.25">
      <c r="A10" t="s">
        <v>28</v>
      </c>
      <c r="B10" t="s">
        <v>147</v>
      </c>
      <c r="C10">
        <f>_xlfn.XLOOKUP(B10,Tabel2[Material],Tabel2[Cost],"Not found")</f>
        <v>30</v>
      </c>
      <c r="D10">
        <v>275</v>
      </c>
      <c r="E10" s="19">
        <v>0.3</v>
      </c>
      <c r="F10" s="19">
        <v>0.6</v>
      </c>
      <c r="G10" s="19">
        <f t="shared" si="4"/>
        <v>0.42</v>
      </c>
      <c r="H10">
        <f>_xlfn.XLOOKUP(B10,Tabel2[Material],Tabel2[Density],"Not found")</f>
        <v>6.3</v>
      </c>
      <c r="I10" s="11">
        <f t="shared" si="5"/>
        <v>0.72765000000000002</v>
      </c>
      <c r="J10" s="7">
        <f t="shared" si="6"/>
        <v>21.829499999999999</v>
      </c>
      <c r="K10">
        <f>'Cross-layer'!$B$25</f>
        <v>153</v>
      </c>
      <c r="L10" s="24">
        <f>K10/100/100*J10/(1-'Cross-layer'!$B$19)</f>
        <v>0.35530994680851069</v>
      </c>
      <c r="M10" s="11">
        <f t="shared" si="7"/>
        <v>11.133045000000001</v>
      </c>
    </row>
    <row r="11" spans="1:15" x14ac:dyDescent="0.25">
      <c r="B11" t="s">
        <v>148</v>
      </c>
      <c r="C11">
        <f>_xlfn.XLOOKUP(B11,Tabel2[Material],Tabel2[Cost],"Not found")</f>
        <v>29</v>
      </c>
      <c r="D11">
        <v>275</v>
      </c>
      <c r="E11" s="19">
        <v>0.3</v>
      </c>
      <c r="F11" s="19">
        <v>0.4</v>
      </c>
      <c r="G11" s="19">
        <f t="shared" si="4"/>
        <v>0.27999999999999997</v>
      </c>
      <c r="H11">
        <f>_xlfn.XLOOKUP(B11,Tabel2[Material],Tabel2[Density],"Not found")</f>
        <v>6.67</v>
      </c>
      <c r="I11" s="11">
        <f t="shared" si="5"/>
        <v>0.51358999999999988</v>
      </c>
      <c r="J11" s="7">
        <f t="shared" si="6"/>
        <v>14.894109999999996</v>
      </c>
      <c r="K11">
        <f>'Cross-layer'!$B$25</f>
        <v>153</v>
      </c>
      <c r="L11" s="24">
        <f>K11/100/100*J11/(1-'Cross-layer'!$B$19)</f>
        <v>0.24242540744680846</v>
      </c>
      <c r="M11" s="11">
        <f t="shared" si="7"/>
        <v>7.8579269999999992</v>
      </c>
    </row>
    <row r="12" spans="1:15" x14ac:dyDescent="0.25">
      <c r="J12" s="7"/>
      <c r="L12" s="4"/>
      <c r="M12" s="7"/>
    </row>
    <row r="14" spans="1:15" x14ac:dyDescent="0.25">
      <c r="L14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74CC-44EC-4E77-86D4-16C87DB770B4}">
  <sheetPr>
    <tabColor theme="5"/>
  </sheetPr>
  <dimension ref="A1:S10"/>
  <sheetViews>
    <sheetView zoomScale="140" workbookViewId="0">
      <selection activeCell="O6" sqref="O6"/>
    </sheetView>
  </sheetViews>
  <sheetFormatPr defaultColWidth="8.85546875" defaultRowHeight="15" x14ac:dyDescent="0.25"/>
  <cols>
    <col min="1" max="1" width="19.42578125" bestFit="1" customWidth="1"/>
    <col min="2" max="2" width="13.85546875" bestFit="1" customWidth="1"/>
    <col min="4" max="4" width="9.7109375" bestFit="1" customWidth="1"/>
    <col min="5" max="5" width="9.85546875" bestFit="1" customWidth="1"/>
    <col min="7" max="7" width="15.28515625" bestFit="1" customWidth="1"/>
    <col min="9" max="9" width="11.7109375" bestFit="1" customWidth="1"/>
    <col min="11" max="11" width="12.42578125" bestFit="1" customWidth="1"/>
    <col min="13" max="13" width="12" bestFit="1" customWidth="1"/>
    <col min="14" max="14" width="12.85546875" bestFit="1" customWidth="1"/>
    <col min="17" max="17" width="21.42578125" bestFit="1" customWidth="1"/>
  </cols>
  <sheetData>
    <row r="1" spans="1:19" x14ac:dyDescent="0.25">
      <c r="D1" t="s">
        <v>121</v>
      </c>
      <c r="E1" t="s">
        <v>122</v>
      </c>
      <c r="F1" t="s">
        <v>70</v>
      </c>
      <c r="I1" t="s">
        <v>123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</row>
    <row r="2" spans="1:19" x14ac:dyDescent="0.25">
      <c r="A2" t="s">
        <v>130</v>
      </c>
      <c r="B2" t="s">
        <v>131</v>
      </c>
      <c r="C2" t="s">
        <v>149</v>
      </c>
      <c r="D2" t="s">
        <v>132</v>
      </c>
      <c r="E2" t="s">
        <v>133</v>
      </c>
      <c r="F2" t="s">
        <v>134</v>
      </c>
      <c r="G2" t="s">
        <v>135</v>
      </c>
      <c r="H2" t="s">
        <v>136</v>
      </c>
      <c r="I2" t="s">
        <v>137</v>
      </c>
      <c r="J2" t="s">
        <v>2</v>
      </c>
      <c r="K2" t="s">
        <v>138</v>
      </c>
      <c r="L2" t="s">
        <v>139</v>
      </c>
      <c r="M2" t="s">
        <v>140</v>
      </c>
      <c r="N2" t="s">
        <v>141</v>
      </c>
      <c r="Q2" t="s">
        <v>150</v>
      </c>
      <c r="R2">
        <f>1/'Cross-layer'!B3</f>
        <v>1.6666666666666666E-2</v>
      </c>
      <c r="S2" t="s">
        <v>151</v>
      </c>
    </row>
    <row r="3" spans="1:19" x14ac:dyDescent="0.25">
      <c r="A3" t="s">
        <v>152</v>
      </c>
      <c r="B3" t="str">
        <f>'Cross-layer'!$B$17</f>
        <v>Crofer22H</v>
      </c>
      <c r="C3">
        <v>1</v>
      </c>
      <c r="D3">
        <f>_xlfn.XLOOKUP(B3,Tabel2[Material],Tabel2[Cost],"Not found")</f>
        <v>19</v>
      </c>
      <c r="E3" s="20">
        <f>'Cross-layer'!$B$9*C3</f>
        <v>300</v>
      </c>
      <c r="F3" s="19">
        <v>0</v>
      </c>
      <c r="G3" s="19">
        <f>'Cross-layer'!$B$13</f>
        <v>0.94288940477161876</v>
      </c>
      <c r="H3" s="19">
        <f>G3*(1-F3)</f>
        <v>0.94288940477161876</v>
      </c>
      <c r="I3">
        <f>_xlfn.XLOOKUP(B3,Tabel2[Material],Tabel2[Density],"Not found")</f>
        <v>7.8</v>
      </c>
      <c r="J3" s="11">
        <f>I3*E3/1000</f>
        <v>2.34</v>
      </c>
      <c r="K3" s="7">
        <f>J3*D3-(1-H3)*'Cross-layer'!$B$14*D3*J3</f>
        <v>44.256869034891686</v>
      </c>
      <c r="L3">
        <f>'Cross-layer'!$B$26</f>
        <v>246.43999999999997</v>
      </c>
      <c r="M3" s="4">
        <f>L3/100/100*K3</f>
        <v>1.0906662804958704</v>
      </c>
      <c r="N3" s="11">
        <f>L3/100/100*J3*1000</f>
        <v>57.666959999999989</v>
      </c>
    </row>
    <row r="4" spans="1:19" x14ac:dyDescent="0.25">
      <c r="A4" t="s">
        <v>153</v>
      </c>
      <c r="B4" t="str">
        <f>'Cross-layer'!$B$17</f>
        <v>Crofer22H</v>
      </c>
      <c r="C4">
        <f>2*R2</f>
        <v>3.3333333333333333E-2</v>
      </c>
      <c r="D4">
        <f>_xlfn.XLOOKUP(B4,Tabel2[Material],Tabel2[Cost],"Not found")</f>
        <v>19</v>
      </c>
      <c r="E4" s="20">
        <f>'Cross-layer'!$B$9*C4</f>
        <v>10</v>
      </c>
      <c r="F4" s="19">
        <v>0</v>
      </c>
      <c r="G4" s="19">
        <f>'Cross-layer'!$B$13</f>
        <v>0.94288940477161876</v>
      </c>
      <c r="H4" s="19">
        <f t="shared" ref="H4:H9" si="0">G4*(1-F4)</f>
        <v>0.94288940477161876</v>
      </c>
      <c r="I4">
        <f>_xlfn.XLOOKUP(B4,Tabel2[Material],Tabel2[Density],"Not found")</f>
        <v>7.8</v>
      </c>
      <c r="J4" s="11">
        <f t="shared" ref="J4:J9" si="1">I4*E4/1000</f>
        <v>7.8E-2</v>
      </c>
      <c r="K4" s="7">
        <f>J4*D4-(1-H4)*'Cross-layer'!$B$14*D4*J4</f>
        <v>1.475228967829723</v>
      </c>
      <c r="L4">
        <f>'Cross-layer'!$B$26</f>
        <v>246.43999999999997</v>
      </c>
      <c r="M4" s="4">
        <f t="shared" ref="M4:M9" si="2">L4/100/100*K4</f>
        <v>3.6355542683195685E-2</v>
      </c>
      <c r="N4" s="11">
        <f t="shared" ref="N4:N9" si="3">L4/100/100*J4*1000</f>
        <v>1.9222319999999997</v>
      </c>
    </row>
    <row r="5" spans="1:19" x14ac:dyDescent="0.25">
      <c r="A5" t="s">
        <v>154</v>
      </c>
      <c r="B5" t="str">
        <f>'Cross-layer'!$B$17</f>
        <v>Crofer22H</v>
      </c>
      <c r="C5">
        <f>2*R2</f>
        <v>3.3333333333333333E-2</v>
      </c>
      <c r="D5">
        <f>_xlfn.XLOOKUP(B5,Tabel2[Material],Tabel2[Cost],"Not found")</f>
        <v>19</v>
      </c>
      <c r="E5" s="20">
        <f>'Cross-layer'!$B$10*C5</f>
        <v>20</v>
      </c>
      <c r="F5" s="19">
        <v>0</v>
      </c>
      <c r="G5" s="19">
        <f>'Cross-layer'!$B$13</f>
        <v>0.94288940477161876</v>
      </c>
      <c r="H5" s="19">
        <f t="shared" si="0"/>
        <v>0.94288940477161876</v>
      </c>
      <c r="I5">
        <f>_xlfn.XLOOKUP(B5,Tabel2[Material],Tabel2[Density],"Not found")</f>
        <v>7.8</v>
      </c>
      <c r="J5" s="11">
        <f t="shared" si="1"/>
        <v>0.156</v>
      </c>
      <c r="K5" s="7">
        <f>J5*D5-(1-H5)*'Cross-layer'!$B$15*D5*J5</f>
        <v>2.9166027748080618</v>
      </c>
      <c r="L5">
        <f>'Cross-layer'!$B$26</f>
        <v>246.43999999999997</v>
      </c>
      <c r="M5" s="4">
        <f>L5/100/100*K5</f>
        <v>7.1876758782369862E-2</v>
      </c>
      <c r="N5" s="11">
        <f t="shared" si="3"/>
        <v>3.8444639999999994</v>
      </c>
    </row>
    <row r="6" spans="1:19" x14ac:dyDescent="0.25">
      <c r="A6" t="s">
        <v>155</v>
      </c>
      <c r="B6" t="str">
        <f>'Cross-layer'!$B$17</f>
        <v>Crofer22H</v>
      </c>
      <c r="C6">
        <f>3*R2</f>
        <v>0.05</v>
      </c>
      <c r="D6">
        <f>_xlfn.XLOOKUP(B6,Tabel2[Material],Tabel2[Cost],"Not found")</f>
        <v>19</v>
      </c>
      <c r="E6" s="20">
        <f>'Cross-layer'!$B$10*C6</f>
        <v>30</v>
      </c>
      <c r="F6" s="19">
        <v>0</v>
      </c>
      <c r="G6" s="19">
        <f>'Cross-layer'!$B$12</f>
        <v>0.32204863216976831</v>
      </c>
      <c r="H6" s="19">
        <f t="shared" si="0"/>
        <v>0.32204863216976831</v>
      </c>
      <c r="I6">
        <f>_xlfn.XLOOKUP(B6,Tabel2[Material],Tabel2[Density],"Not found")</f>
        <v>7.8</v>
      </c>
      <c r="J6" s="11">
        <f t="shared" si="1"/>
        <v>0.23400000000000001</v>
      </c>
      <c r="K6" s="7">
        <f>J6*D6-(1-H6)*'Cross-layer'!$B$15*D6*J6</f>
        <v>3.6020319012155015</v>
      </c>
      <c r="L6">
        <f>'Cross-layer'!$B$26</f>
        <v>246.43999999999997</v>
      </c>
      <c r="M6" s="4">
        <f t="shared" si="2"/>
        <v>8.8768474173554809E-2</v>
      </c>
      <c r="N6" s="11">
        <f t="shared" si="3"/>
        <v>5.7666959999999987</v>
      </c>
    </row>
    <row r="7" spans="1:19" x14ac:dyDescent="0.25">
      <c r="A7" t="s">
        <v>156</v>
      </c>
      <c r="B7" t="str">
        <f>'Cross-layer'!$B$17</f>
        <v>Crofer22H</v>
      </c>
      <c r="C7">
        <f>1</f>
        <v>1</v>
      </c>
      <c r="D7">
        <f>_xlfn.XLOOKUP(B7,Tabel2[Material],Tabel2[Cost],"Not found")</f>
        <v>19</v>
      </c>
      <c r="E7" s="20">
        <f>'Cross-layer'!$B$10</f>
        <v>600</v>
      </c>
      <c r="F7" s="19">
        <v>0</v>
      </c>
      <c r="G7" s="19">
        <f>'Cross-layer'!$B$12</f>
        <v>0.32204863216976831</v>
      </c>
      <c r="H7" s="19">
        <f t="shared" si="0"/>
        <v>0.32204863216976831</v>
      </c>
      <c r="I7">
        <f>_xlfn.XLOOKUP(B7,Tabel2[Material],Tabel2[Density],"Not found")</f>
        <v>7.8</v>
      </c>
      <c r="J7" s="11">
        <f t="shared" si="1"/>
        <v>4.68</v>
      </c>
      <c r="K7" s="7">
        <f>J7*D7-(1-H7)*'Cross-layer'!$B$15*D7*J7</f>
        <v>72.040638024310013</v>
      </c>
      <c r="L7">
        <f>'Cross-layer'!$B$26</f>
        <v>246.43999999999997</v>
      </c>
      <c r="M7" s="4">
        <f t="shared" si="2"/>
        <v>1.7753694834710956</v>
      </c>
      <c r="N7" s="11">
        <f t="shared" si="3"/>
        <v>115.33391999999998</v>
      </c>
    </row>
    <row r="8" spans="1:19" x14ac:dyDescent="0.25">
      <c r="A8" t="s">
        <v>157</v>
      </c>
      <c r="B8" t="str">
        <f>'Cross-layer'!$B$17</f>
        <v>Crofer22H</v>
      </c>
      <c r="C8">
        <v>1</v>
      </c>
      <c r="D8">
        <f>_xlfn.XLOOKUP(B8,Tabel2[Material],Tabel2[Cost],"Not found")</f>
        <v>19</v>
      </c>
      <c r="E8" s="20">
        <f>'Cross-layer'!$B$10</f>
        <v>600</v>
      </c>
      <c r="F8" s="19">
        <v>0</v>
      </c>
      <c r="G8" s="19">
        <f>'Cross-layer'!$B$12</f>
        <v>0.32204863216976831</v>
      </c>
      <c r="H8" s="19">
        <f t="shared" si="0"/>
        <v>0.32204863216976831</v>
      </c>
      <c r="I8">
        <f>_xlfn.XLOOKUP(B8,Tabel2[Material],Tabel2[Density],"Not found")</f>
        <v>7.8</v>
      </c>
      <c r="J8" s="11">
        <f t="shared" si="1"/>
        <v>4.68</v>
      </c>
      <c r="K8" s="7">
        <f>J8*D8-(1-H8)*'Cross-layer'!$B$15*D8*J8</f>
        <v>72.040638024310013</v>
      </c>
      <c r="L8">
        <f>'Cross-layer'!$B$26</f>
        <v>246.43999999999997</v>
      </c>
      <c r="M8" s="4">
        <f t="shared" si="2"/>
        <v>1.7753694834710956</v>
      </c>
      <c r="N8" s="11">
        <f t="shared" si="3"/>
        <v>115.33391999999998</v>
      </c>
    </row>
    <row r="9" spans="1:19" x14ac:dyDescent="0.25">
      <c r="A9" t="s">
        <v>158</v>
      </c>
      <c r="B9" t="str">
        <f>'Cross-layer'!$B$17</f>
        <v>Crofer22H</v>
      </c>
      <c r="C9">
        <f>2*R2</f>
        <v>3.3333333333333333E-2</v>
      </c>
      <c r="D9">
        <f>_xlfn.XLOOKUP(B9,Tabel2[Material],Tabel2[Cost],"Not found")</f>
        <v>19</v>
      </c>
      <c r="E9" s="20">
        <f>C9*'Cross-layer'!$B$11</f>
        <v>166.66666666666666</v>
      </c>
      <c r="F9" s="19">
        <v>0</v>
      </c>
      <c r="G9" s="19">
        <f>'Cross-layer'!$B$13</f>
        <v>0.94288940477161876</v>
      </c>
      <c r="H9" s="19">
        <f t="shared" si="0"/>
        <v>0.94288940477161876</v>
      </c>
      <c r="I9">
        <f>_xlfn.XLOOKUP(B9,Tabel2[Material],Tabel2[Density],"Not found")</f>
        <v>7.8</v>
      </c>
      <c r="J9" s="11">
        <f t="shared" si="1"/>
        <v>1.3</v>
      </c>
      <c r="K9" s="7">
        <f>J9*D9-(1-H9)*'Cross-layer'!$B$15*D9*J9</f>
        <v>24.305023123400513</v>
      </c>
      <c r="L9">
        <f>'Cross-layer'!$B$26</f>
        <v>246.43999999999997</v>
      </c>
      <c r="M9" s="4">
        <f t="shared" si="2"/>
        <v>0.59897298985308212</v>
      </c>
      <c r="N9" s="11">
        <f t="shared" si="3"/>
        <v>32.037199999999991</v>
      </c>
    </row>
    <row r="10" spans="1:19" x14ac:dyDescent="0.25">
      <c r="J10" s="11"/>
      <c r="K10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CE5E8-DFCF-4B99-8261-8E12AE643ECD}">
  <sheetPr>
    <tabColor theme="5"/>
  </sheetPr>
  <dimension ref="A1:Q8"/>
  <sheetViews>
    <sheetView zoomScale="150" workbookViewId="0">
      <selection activeCell="D4" sqref="D4"/>
    </sheetView>
  </sheetViews>
  <sheetFormatPr defaultColWidth="8.85546875" defaultRowHeight="15" x14ac:dyDescent="0.25"/>
  <cols>
    <col min="1" max="1" width="17.28515625" bestFit="1" customWidth="1"/>
    <col min="2" max="2" width="13.140625" bestFit="1" customWidth="1"/>
    <col min="4" max="4" width="9.85546875" bestFit="1" customWidth="1"/>
    <col min="6" max="6" width="15.28515625" bestFit="1" customWidth="1"/>
    <col min="8" max="8" width="11.7109375" bestFit="1" customWidth="1"/>
    <col min="10" max="10" width="12.42578125" bestFit="1" customWidth="1"/>
    <col min="12" max="12" width="12" bestFit="1" customWidth="1"/>
    <col min="13" max="13" width="12.85546875" bestFit="1" customWidth="1"/>
  </cols>
  <sheetData>
    <row r="1" spans="1:17" x14ac:dyDescent="0.25">
      <c r="C1" t="s">
        <v>121</v>
      </c>
      <c r="D1" t="s">
        <v>122</v>
      </c>
      <c r="E1" t="s">
        <v>70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Q1" t="s">
        <v>159</v>
      </c>
    </row>
    <row r="2" spans="1:17" x14ac:dyDescent="0.25">
      <c r="A2" t="s">
        <v>130</v>
      </c>
      <c r="B2" t="s">
        <v>131</v>
      </c>
      <c r="C2" t="s">
        <v>132</v>
      </c>
      <c r="D2" t="s">
        <v>133</v>
      </c>
      <c r="E2" t="s">
        <v>134</v>
      </c>
      <c r="F2" t="s">
        <v>135</v>
      </c>
      <c r="G2" t="s">
        <v>136</v>
      </c>
      <c r="H2" t="s">
        <v>137</v>
      </c>
      <c r="I2" t="s">
        <v>2</v>
      </c>
      <c r="J2" t="s">
        <v>138</v>
      </c>
      <c r="K2" t="s">
        <v>139</v>
      </c>
      <c r="L2" t="s">
        <v>140</v>
      </c>
      <c r="M2" t="s">
        <v>141</v>
      </c>
      <c r="Q2" t="s">
        <v>160</v>
      </c>
    </row>
    <row r="3" spans="1:17" x14ac:dyDescent="0.25">
      <c r="A3" t="s">
        <v>35</v>
      </c>
      <c r="B3" t="s">
        <v>35</v>
      </c>
      <c r="C3">
        <v>37</v>
      </c>
      <c r="D3">
        <f>Calculations!B68</f>
        <v>700</v>
      </c>
      <c r="E3" s="19">
        <v>0</v>
      </c>
      <c r="F3" s="19">
        <v>1</v>
      </c>
      <c r="G3" s="19">
        <f>F3*(1-E3)</f>
        <v>1</v>
      </c>
      <c r="H3" s="7">
        <f>Calculations!B65</f>
        <v>1.4405885563835883</v>
      </c>
      <c r="I3" s="11">
        <f>H3*G3*D3/1000</f>
        <v>1.0084119894685117</v>
      </c>
      <c r="J3" s="7">
        <f>I3*C3</f>
        <v>37.311243610334934</v>
      </c>
      <c r="K3" s="3">
        <f>Calculations!B70</f>
        <v>118.43999999999997</v>
      </c>
      <c r="L3" s="11">
        <f>J3*K3/100/100</f>
        <v>0.44191436932080685</v>
      </c>
      <c r="M3" s="11">
        <f>K3/100/100*I3*1000</f>
        <v>11.94363160326505</v>
      </c>
      <c r="O3" s="5"/>
      <c r="Q3" t="s">
        <v>161</v>
      </c>
    </row>
    <row r="4" spans="1:17" x14ac:dyDescent="0.25">
      <c r="A4" t="s">
        <v>36</v>
      </c>
      <c r="B4" t="s">
        <v>162</v>
      </c>
      <c r="C4">
        <v>250</v>
      </c>
      <c r="D4">
        <v>100</v>
      </c>
      <c r="E4" s="19">
        <v>0</v>
      </c>
      <c r="F4" s="19">
        <v>1</v>
      </c>
      <c r="G4" s="19">
        <f>F4*(1-E4)</f>
        <v>1</v>
      </c>
      <c r="H4" s="7">
        <f>Calculations!B81</f>
        <v>4.9416381710888917</v>
      </c>
      <c r="I4" s="11">
        <f>H4*G4*D4/1000</f>
        <v>0.49416381710888918</v>
      </c>
      <c r="J4" s="7">
        <f>I4*C4</f>
        <v>123.5409542772223</v>
      </c>
      <c r="K4" s="3">
        <f>'Cross-layer'!B25</f>
        <v>153</v>
      </c>
      <c r="L4" s="11">
        <f>J4*K4/100/100</f>
        <v>1.8901766004415013</v>
      </c>
      <c r="M4" s="11">
        <f>K4/100/100*I4*1000</f>
        <v>7.5607064017660051</v>
      </c>
      <c r="O4" s="5"/>
      <c r="Q4" t="s">
        <v>163</v>
      </c>
    </row>
    <row r="5" spans="1:17" x14ac:dyDescent="0.25">
      <c r="A5" t="s">
        <v>37</v>
      </c>
      <c r="B5" t="s">
        <v>164</v>
      </c>
      <c r="C5" s="23">
        <f>Materials!I2</f>
        <v>27</v>
      </c>
      <c r="K5">
        <f>'Cross-layer'!B24</f>
        <v>128</v>
      </c>
      <c r="L5" s="11">
        <f>K5/100/100*C5</f>
        <v>0.34560000000000002</v>
      </c>
    </row>
    <row r="6" spans="1:17" x14ac:dyDescent="0.25">
      <c r="O6" s="7"/>
    </row>
    <row r="8" spans="1:17" x14ac:dyDescent="0.25">
      <c r="N8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ABEAB-63B7-43A6-AB21-36015DA7E330}">
  <sheetPr>
    <tabColor theme="5"/>
  </sheetPr>
  <dimension ref="A1:W37"/>
  <sheetViews>
    <sheetView topLeftCell="M5" workbookViewId="0">
      <selection activeCell="U29" sqref="U29"/>
    </sheetView>
  </sheetViews>
  <sheetFormatPr defaultRowHeight="15" x14ac:dyDescent="0.25"/>
  <cols>
    <col min="1" max="1" width="37" bestFit="1" customWidth="1"/>
    <col min="2" max="2" width="23.85546875" bestFit="1" customWidth="1"/>
    <col min="3" max="3" width="11.7109375" bestFit="1" customWidth="1"/>
    <col min="4" max="5" width="21.140625" bestFit="1" customWidth="1"/>
    <col min="6" max="6" width="21" bestFit="1" customWidth="1"/>
    <col min="7" max="7" width="18.28515625" bestFit="1" customWidth="1"/>
    <col min="8" max="8" width="18.42578125" bestFit="1" customWidth="1"/>
    <col min="9" max="10" width="15.28515625" bestFit="1" customWidth="1"/>
    <col min="11" max="12" width="20.7109375" bestFit="1" customWidth="1"/>
    <col min="13" max="13" width="11.5703125" bestFit="1" customWidth="1"/>
    <col min="14" max="14" width="14.5703125" style="7" bestFit="1" customWidth="1"/>
    <col min="15" max="15" width="15.28515625" style="20" bestFit="1" customWidth="1"/>
    <col min="16" max="16" width="9.7109375" style="3" bestFit="1" customWidth="1"/>
    <col min="17" max="17" width="12" bestFit="1" customWidth="1"/>
    <col min="18" max="18" width="17.85546875" bestFit="1" customWidth="1"/>
    <col min="19" max="19" width="12.7109375" bestFit="1" customWidth="1"/>
    <col min="20" max="20" width="12" bestFit="1" customWidth="1"/>
    <col min="21" max="21" width="14.7109375" bestFit="1" customWidth="1"/>
    <col min="22" max="22" width="14.85546875" bestFit="1" customWidth="1"/>
    <col min="23" max="23" width="18.7109375" bestFit="1" customWidth="1"/>
  </cols>
  <sheetData>
    <row r="1" spans="1:23" ht="15.75" thickBot="1" x14ac:dyDescent="0.3">
      <c r="A1" s="29" t="s">
        <v>165</v>
      </c>
      <c r="B1" s="29" t="s">
        <v>166</v>
      </c>
      <c r="C1" s="30" t="s">
        <v>167</v>
      </c>
      <c r="D1" s="29" t="s">
        <v>168</v>
      </c>
      <c r="E1" s="29" t="s">
        <v>169</v>
      </c>
      <c r="F1" s="29" t="s">
        <v>170</v>
      </c>
      <c r="G1" s="29" t="s">
        <v>171</v>
      </c>
      <c r="H1" s="29" t="s">
        <v>172</v>
      </c>
      <c r="I1" s="29" t="s">
        <v>173</v>
      </c>
      <c r="J1" s="29" t="s">
        <v>174</v>
      </c>
      <c r="K1" s="29" t="s">
        <v>175</v>
      </c>
      <c r="L1" s="29" t="s">
        <v>176</v>
      </c>
      <c r="M1" s="29" t="s">
        <v>177</v>
      </c>
      <c r="N1" s="29" t="s">
        <v>178</v>
      </c>
      <c r="O1" s="31" t="s">
        <v>179</v>
      </c>
      <c r="P1" s="32" t="s">
        <v>180</v>
      </c>
      <c r="Q1" s="29" t="s">
        <v>40</v>
      </c>
      <c r="R1" s="33" t="s">
        <v>181</v>
      </c>
      <c r="S1" s="33" t="s">
        <v>182</v>
      </c>
      <c r="T1" s="33" t="s">
        <v>183</v>
      </c>
      <c r="U1" s="34" t="s">
        <v>184</v>
      </c>
      <c r="V1" s="34" t="s">
        <v>185</v>
      </c>
      <c r="W1" s="34" t="s">
        <v>186</v>
      </c>
    </row>
    <row r="2" spans="1:23" x14ac:dyDescent="0.25">
      <c r="A2" t="s">
        <v>187</v>
      </c>
      <c r="B2" t="s">
        <v>42</v>
      </c>
      <c r="C2" t="s">
        <v>78</v>
      </c>
      <c r="D2">
        <v>2</v>
      </c>
      <c r="E2" s="35">
        <v>84000</v>
      </c>
      <c r="F2">
        <v>14</v>
      </c>
      <c r="G2">
        <v>5</v>
      </c>
      <c r="H2" s="36">
        <v>0.2</v>
      </c>
      <c r="I2">
        <v>1</v>
      </c>
      <c r="J2">
        <v>7.5</v>
      </c>
      <c r="K2" s="11" cm="1">
        <f t="array" ref="K2">IFERROR(INDEX(Max_cycle_table[Takt time],MATCH(1, (Max_cycle_table[Shifts/day]=I2) * (Max_cycle_table[Hours/shift]=J2), 0)),0)</f>
        <v>5.7</v>
      </c>
      <c r="L2">
        <f t="shared" ref="L2:L25" si="0">IFERROR(IF(G2&gt;K2,D2*ROUNDUP(G2/K2,0),D2),D2)</f>
        <v>2</v>
      </c>
      <c r="M2" s="11">
        <f>IFERROR((G2/K2)*H2*L2*I2,0)</f>
        <v>0.35087719298245612</v>
      </c>
      <c r="N2" s="7">
        <f>VLOOKUP(C2,Scale_table[#All],2,FALSE)</f>
        <v>1</v>
      </c>
      <c r="O2" s="20">
        <f t="shared" ref="O2:O29" si="1">E2*L2*N2</f>
        <v>168000</v>
      </c>
      <c r="P2" s="3">
        <f t="shared" ref="P2:P29" si="2">F2*L2*N2</f>
        <v>28</v>
      </c>
      <c r="Q2">
        <f t="shared" ref="Q2:Q28" si="3">P2*G2</f>
        <v>140</v>
      </c>
      <c r="R2" s="37">
        <f>O2*'Manufacturing inputs'!$B$2</f>
        <v>6.7200000000000006</v>
      </c>
      <c r="S2" s="37">
        <f>(M2*'Manufacturing inputs'!$B$9)/'Manufacturing inputs'!$B$1</f>
        <v>6.0687719298245613</v>
      </c>
      <c r="T2" s="37">
        <f>Q2*'Manufacturing inputs'!$B$8</f>
        <v>1.1966111111111113</v>
      </c>
      <c r="U2" s="38">
        <f>R2/'Manufacturing inputs'!$B$5</f>
        <v>3.7127071823204426E-2</v>
      </c>
      <c r="V2" s="38">
        <f>S2/'Manufacturing inputs'!$B$5</f>
        <v>3.3529126684113598E-2</v>
      </c>
      <c r="W2" s="38">
        <f>T2/'Manufacturing inputs'!$B$5</f>
        <v>6.6111111111111119E-3</v>
      </c>
    </row>
    <row r="3" spans="1:23" x14ac:dyDescent="0.25">
      <c r="A3" t="s">
        <v>188</v>
      </c>
      <c r="B3" t="s">
        <v>42</v>
      </c>
      <c r="C3" t="s">
        <v>13</v>
      </c>
      <c r="D3">
        <v>2</v>
      </c>
      <c r="E3" s="35">
        <v>100000</v>
      </c>
      <c r="F3">
        <v>32</v>
      </c>
      <c r="G3">
        <v>5</v>
      </c>
      <c r="H3" s="36">
        <v>0.2</v>
      </c>
      <c r="I3">
        <v>1</v>
      </c>
      <c r="J3">
        <v>7.5</v>
      </c>
      <c r="K3" s="11" cm="1">
        <f t="array" ref="K3">IFERROR(INDEX(Max_cycle_table[Takt time],MATCH(1, (Max_cycle_table[Shifts/day]=I3) * (Max_cycle_table[Hours/shift]=J3), 0)),0)</f>
        <v>5.7</v>
      </c>
      <c r="L3">
        <f t="shared" si="0"/>
        <v>2</v>
      </c>
      <c r="M3" s="11">
        <f>IFERROR((G3/K3)*H3*L3*I3,0)</f>
        <v>0.35087719298245612</v>
      </c>
      <c r="N3" s="7">
        <f>VLOOKUP(C3,Scale_table[#All],2,FALSE)</f>
        <v>0.99210950080515281</v>
      </c>
      <c r="O3" s="20">
        <f t="shared" si="1"/>
        <v>198421.90016103056</v>
      </c>
      <c r="P3" s="3">
        <f t="shared" si="2"/>
        <v>63.49500805152978</v>
      </c>
      <c r="Q3">
        <f t="shared" si="3"/>
        <v>317.47504025764891</v>
      </c>
      <c r="R3" s="37">
        <f>O3*'Manufacturing inputs'!$B$2</f>
        <v>7.9368760064412225</v>
      </c>
      <c r="S3" s="37">
        <f>(M3*'Manufacturing inputs'!$B$9)/'Manufacturing inputs'!$B$1</f>
        <v>6.0687719298245613</v>
      </c>
      <c r="T3" s="37">
        <f>Q3*'Manufacturing inputs'!$B$8</f>
        <v>2.7135297190910719</v>
      </c>
      <c r="U3" s="38">
        <f>R3/'Manufacturing inputs'!$B$5</f>
        <v>4.3850143681995704E-2</v>
      </c>
      <c r="V3" s="38">
        <f>S3/'Manufacturing inputs'!$B$5</f>
        <v>3.3529126684113598E-2</v>
      </c>
      <c r="W3" s="38">
        <f>T3/'Manufacturing inputs'!$B$5</f>
        <v>1.4991876901055646E-2</v>
      </c>
    </row>
    <row r="4" spans="1:23" x14ac:dyDescent="0.25">
      <c r="A4" t="s">
        <v>189</v>
      </c>
      <c r="B4" t="s">
        <v>42</v>
      </c>
      <c r="C4" t="s">
        <v>79</v>
      </c>
      <c r="D4">
        <v>2</v>
      </c>
      <c r="E4" s="35">
        <v>140000</v>
      </c>
      <c r="F4">
        <v>4</v>
      </c>
      <c r="G4">
        <v>5</v>
      </c>
      <c r="H4" s="36">
        <v>0</v>
      </c>
      <c r="I4">
        <v>0</v>
      </c>
      <c r="K4" s="11" cm="1">
        <f t="array" ref="K4">IFERROR(INDEX(Max_cycle_table[Takt time],MATCH(1, (Max_cycle_table[Shifts/day]=I4) * (Max_cycle_table[Hours/shift]=J4), 0)),0)</f>
        <v>0</v>
      </c>
      <c r="L4">
        <f t="shared" si="0"/>
        <v>2</v>
      </c>
      <c r="M4" s="11">
        <f>IFERROR((G4/K4)*H4*L4*I4,0)</f>
        <v>0</v>
      </c>
      <c r="N4" s="7">
        <f>VLOOKUP(C4,Scale_table[#All],2,FALSE)</f>
        <v>0.99889624724061821</v>
      </c>
      <c r="O4" s="20">
        <f t="shared" si="1"/>
        <v>279690.94922737312</v>
      </c>
      <c r="P4" s="3">
        <f t="shared" si="2"/>
        <v>7.9911699779249457</v>
      </c>
      <c r="Q4">
        <f t="shared" si="3"/>
        <v>39.95584988962473</v>
      </c>
      <c r="R4" s="37">
        <f>O4*'Manufacturing inputs'!$B$2</f>
        <v>11.187637969094926</v>
      </c>
      <c r="S4" s="37">
        <f>(M4*'Manufacturing inputs'!$B$9)/'Manufacturing inputs'!$B$1</f>
        <v>0</v>
      </c>
      <c r="T4" s="37">
        <f>Q4*'Manufacturing inputs'!$B$8</f>
        <v>0.34151152808437585</v>
      </c>
      <c r="U4" s="38">
        <f>R4/'Manufacturing inputs'!$B$5</f>
        <v>6.1810154525386331E-2</v>
      </c>
      <c r="V4" s="38">
        <f>S4/'Manufacturing inputs'!$B$5</f>
        <v>0</v>
      </c>
      <c r="W4" s="38">
        <f>T4/'Manufacturing inputs'!$B$5</f>
        <v>1.8868040225656125E-3</v>
      </c>
    </row>
    <row r="5" spans="1:23" x14ac:dyDescent="0.25">
      <c r="A5" t="s">
        <v>190</v>
      </c>
      <c r="B5" t="s">
        <v>42</v>
      </c>
      <c r="C5" t="s">
        <v>13</v>
      </c>
      <c r="D5">
        <v>1</v>
      </c>
      <c r="E5" s="39">
        <v>145000</v>
      </c>
      <c r="F5">
        <v>12.5</v>
      </c>
      <c r="G5">
        <v>3</v>
      </c>
      <c r="H5" s="36">
        <v>0.2</v>
      </c>
      <c r="I5">
        <v>1</v>
      </c>
      <c r="J5">
        <v>7.5</v>
      </c>
      <c r="K5" s="11" cm="1">
        <f t="array" ref="K5">IFERROR(INDEX(Max_cycle_table[Takt time],MATCH(1, (Max_cycle_table[Shifts/day]=I5) * (Max_cycle_table[Hours/shift]=J5), 0)),0)</f>
        <v>5.7</v>
      </c>
      <c r="L5">
        <f t="shared" si="0"/>
        <v>1</v>
      </c>
      <c r="M5" s="11">
        <f>IFERROR((G5/K5)*H5*L5*I5,0)</f>
        <v>0.10526315789473684</v>
      </c>
      <c r="N5" s="7">
        <f>VLOOKUP(C5,Scale_table[#All],2,FALSE)</f>
        <v>0.99210950080515281</v>
      </c>
      <c r="O5" s="20">
        <f t="shared" si="1"/>
        <v>143855.87761674717</v>
      </c>
      <c r="P5" s="3">
        <f t="shared" si="2"/>
        <v>12.401368760064409</v>
      </c>
      <c r="Q5">
        <f t="shared" si="3"/>
        <v>37.20410628019323</v>
      </c>
      <c r="R5" s="37">
        <f>O5*'Manufacturing inputs'!$B$2</f>
        <v>5.7542351046698874</v>
      </c>
      <c r="S5" s="37">
        <f>(M5*'Manufacturing inputs'!$B$9)/'Manufacturing inputs'!$B$1</f>
        <v>1.8206315789473684</v>
      </c>
      <c r="T5" s="37">
        <f>Q5*'Manufacturing inputs'!$B$8</f>
        <v>0.31799176395598494</v>
      </c>
      <c r="U5" s="38">
        <f>R5/'Manufacturing inputs'!$B$5</f>
        <v>3.1791354169446895E-2</v>
      </c>
      <c r="V5" s="38">
        <f>S5/'Manufacturing inputs'!$B$5</f>
        <v>1.005873800523408E-2</v>
      </c>
      <c r="W5" s="38">
        <f>T5/'Manufacturing inputs'!$B$5</f>
        <v>1.7568605743424582E-3</v>
      </c>
    </row>
    <row r="6" spans="1:23" x14ac:dyDescent="0.25">
      <c r="A6" t="s">
        <v>191</v>
      </c>
      <c r="B6" t="s">
        <v>42</v>
      </c>
      <c r="C6" t="s">
        <v>13</v>
      </c>
      <c r="D6">
        <v>2</v>
      </c>
      <c r="E6" s="35">
        <f>240000/2</f>
        <v>120000</v>
      </c>
      <c r="F6">
        <v>21</v>
      </c>
      <c r="G6">
        <v>5.7</v>
      </c>
      <c r="H6" s="36">
        <v>0.2</v>
      </c>
      <c r="I6">
        <v>1</v>
      </c>
      <c r="J6">
        <v>7.5</v>
      </c>
      <c r="K6" s="11" cm="1">
        <f t="array" ref="K6">IFERROR(INDEX(Max_cycle_table[Takt time],MATCH(1, (Max_cycle_table[Shifts/day]=I6) * (Max_cycle_table[Hours/shift]=J6), 0)),0)</f>
        <v>5.7</v>
      </c>
      <c r="L6">
        <f t="shared" si="0"/>
        <v>2</v>
      </c>
      <c r="M6" s="11">
        <f>IFERROR((G6/K6)*H6*L6*I6,0)</f>
        <v>0.4</v>
      </c>
      <c r="N6" s="7">
        <f>VLOOKUP(C6,Scale_table[#All],2,FALSE)</f>
        <v>0.99210950080515281</v>
      </c>
      <c r="O6" s="20">
        <f t="shared" si="1"/>
        <v>238106.28019323669</v>
      </c>
      <c r="P6" s="3">
        <f t="shared" si="2"/>
        <v>41.66859903381642</v>
      </c>
      <c r="Q6">
        <f t="shared" si="3"/>
        <v>237.51101449275362</v>
      </c>
      <c r="R6" s="37">
        <f>O6*'Manufacturing inputs'!$B$2</f>
        <v>9.5242512077294688</v>
      </c>
      <c r="S6" s="37">
        <f>(M6*'Manufacturing inputs'!$B$9)/'Manufacturing inputs'!$B$1</f>
        <v>6.9184000000000001</v>
      </c>
      <c r="T6" s="37">
        <f>Q6*'Manufacturing inputs'!$B$8</f>
        <v>2.0300594210950083</v>
      </c>
      <c r="U6" s="38">
        <f>R6/'Manufacturing inputs'!$B$5</f>
        <v>5.2620172418394853E-2</v>
      </c>
      <c r="V6" s="38">
        <f>S6/'Manufacturing inputs'!$B$5</f>
        <v>3.8223204419889502E-2</v>
      </c>
      <c r="W6" s="38">
        <f>T6/'Manufacturing inputs'!$B$5</f>
        <v>1.1215797906602256E-2</v>
      </c>
    </row>
    <row r="7" spans="1:23" x14ac:dyDescent="0.25">
      <c r="A7" t="s">
        <v>192</v>
      </c>
      <c r="B7" t="s">
        <v>42</v>
      </c>
      <c r="C7" t="s">
        <v>13</v>
      </c>
      <c r="D7">
        <v>1</v>
      </c>
      <c r="E7" s="35">
        <v>41400</v>
      </c>
      <c r="F7">
        <v>4</v>
      </c>
      <c r="G7">
        <v>18.3</v>
      </c>
      <c r="H7" s="36">
        <v>1</v>
      </c>
      <c r="I7">
        <v>0</v>
      </c>
      <c r="K7" s="11" cm="1">
        <f t="array" ref="K7">IFERROR(INDEX(Max_cycle_table[Takt time],MATCH(1, (Max_cycle_table[Shifts/day]=I7) * (Max_cycle_table[Hours/shift]=J7), 0)),0)</f>
        <v>0</v>
      </c>
      <c r="L7">
        <f t="shared" si="0"/>
        <v>1</v>
      </c>
      <c r="M7" s="11">
        <f>1/7.5*1/2*L7</f>
        <v>6.6666666666666666E-2</v>
      </c>
      <c r="N7" s="7">
        <f>VLOOKUP(C7,Scale_table[#All],2,FALSE)</f>
        <v>0.99210950080515281</v>
      </c>
      <c r="O7" s="20">
        <f t="shared" si="1"/>
        <v>41073.333333333328</v>
      </c>
      <c r="P7" s="3">
        <f t="shared" si="2"/>
        <v>3.9684380032206112</v>
      </c>
      <c r="Q7">
        <f t="shared" si="3"/>
        <v>72.622415458937184</v>
      </c>
      <c r="R7" s="37">
        <f>O7*'Manufacturing inputs'!$B$2</f>
        <v>1.6429333333333334</v>
      </c>
      <c r="S7" s="37">
        <f>(M7*'Manufacturing inputs'!$B$9)/'Manufacturing inputs'!$B$1</f>
        <v>1.1530666666666667</v>
      </c>
      <c r="T7" s="37">
        <f>Q7*'Manufacturing inputs'!$B$8</f>
        <v>0.62071992324208258</v>
      </c>
      <c r="U7" s="38">
        <f>R7/'Manufacturing inputs'!$B$5</f>
        <v>9.0769797421731118E-3</v>
      </c>
      <c r="V7" s="38">
        <f>S7/'Manufacturing inputs'!$B$5</f>
        <v>6.3705340699815836E-3</v>
      </c>
      <c r="W7" s="38">
        <f>T7/'Manufacturing inputs'!$B$5</f>
        <v>3.4293918411164785E-3</v>
      </c>
    </row>
    <row r="8" spans="1:23" x14ac:dyDescent="0.25">
      <c r="A8" t="s">
        <v>193</v>
      </c>
      <c r="B8" t="s">
        <v>42</v>
      </c>
      <c r="C8" t="s">
        <v>13</v>
      </c>
      <c r="D8">
        <v>1</v>
      </c>
      <c r="E8" s="35">
        <v>1660000</v>
      </c>
      <c r="F8">
        <v>660</v>
      </c>
      <c r="G8">
        <v>4.8</v>
      </c>
      <c r="H8" s="36">
        <v>0.2</v>
      </c>
      <c r="I8">
        <v>1</v>
      </c>
      <c r="J8">
        <v>7.5</v>
      </c>
      <c r="K8" s="11" cm="1">
        <f t="array" ref="K8">IFERROR(INDEX(Max_cycle_table[Takt time],MATCH(1, (Max_cycle_table[Shifts/day]=I8) * (Max_cycle_table[Hours/shift]=J8), 0)),0)</f>
        <v>5.7</v>
      </c>
      <c r="L8">
        <f t="shared" si="0"/>
        <v>1</v>
      </c>
      <c r="M8" s="11">
        <f>IFERROR((G8/K8)*H8*L8*I8,0)</f>
        <v>0.16842105263157894</v>
      </c>
      <c r="N8" s="7">
        <f>VLOOKUP(C8,Scale_table[#All],2,FALSE)</f>
        <v>0.99210950080515281</v>
      </c>
      <c r="O8" s="20">
        <f t="shared" si="1"/>
        <v>1646901.7713365536</v>
      </c>
      <c r="P8" s="3">
        <f t="shared" si="2"/>
        <v>654.79227053140085</v>
      </c>
      <c r="Q8">
        <f t="shared" si="3"/>
        <v>3143.0028985507238</v>
      </c>
      <c r="R8" s="37">
        <f>O8*'Manufacturing inputs'!$B$2</f>
        <v>65.876070853462153</v>
      </c>
      <c r="S8" s="37">
        <f>(M8*'Manufacturing inputs'!$B$9)/'Manufacturing inputs'!$B$1</f>
        <v>2.9130105263157895</v>
      </c>
      <c r="T8" s="37">
        <f>Q8*'Manufacturing inputs'!$B$8</f>
        <v>26.863944219001606</v>
      </c>
      <c r="U8" s="38">
        <f>R8/'Manufacturing inputs'!$B$5</f>
        <v>0.36395619256056438</v>
      </c>
      <c r="V8" s="38">
        <f>S8/'Manufacturing inputs'!$B$5</f>
        <v>1.6093980808374528E-2</v>
      </c>
      <c r="W8" s="38">
        <f>T8/'Manufacturing inputs'!$B$5</f>
        <v>0.14841958132045086</v>
      </c>
    </row>
    <row r="9" spans="1:23" x14ac:dyDescent="0.25">
      <c r="A9" t="s">
        <v>194</v>
      </c>
      <c r="B9" t="s">
        <v>42</v>
      </c>
      <c r="C9" t="s">
        <v>13</v>
      </c>
      <c r="D9">
        <v>1</v>
      </c>
      <c r="E9" s="39">
        <v>1020000</v>
      </c>
      <c r="F9">
        <v>69</v>
      </c>
      <c r="G9">
        <v>12.3</v>
      </c>
      <c r="H9" s="36">
        <v>0.2</v>
      </c>
      <c r="I9">
        <v>3</v>
      </c>
      <c r="J9">
        <v>8</v>
      </c>
      <c r="K9" s="11" cm="1">
        <f t="array" ref="K9">IFERROR(INDEX(Max_cycle_table[Takt time],MATCH(1, (Max_cycle_table[Shifts/day]=I9) * (Max_cycle_table[Hours/shift]=J9), 0)),0)</f>
        <v>18.3</v>
      </c>
      <c r="L9">
        <f t="shared" si="0"/>
        <v>1</v>
      </c>
      <c r="M9" s="11">
        <f>IFERROR((G9/K9)*H9*L9,0)</f>
        <v>0.13442622950819672</v>
      </c>
      <c r="N9" s="7">
        <f>VLOOKUP(C9,Scale_table[#All],2,FALSE)</f>
        <v>0.99210950080515281</v>
      </c>
      <c r="O9" s="20">
        <f t="shared" si="1"/>
        <v>1011951.6908212559</v>
      </c>
      <c r="P9" s="3">
        <f t="shared" si="2"/>
        <v>68.455555555555549</v>
      </c>
      <c r="Q9">
        <f t="shared" si="3"/>
        <v>842.00333333333333</v>
      </c>
      <c r="R9" s="37">
        <f>O9*'Manufacturing inputs'!$B$2</f>
        <v>40.478067632850241</v>
      </c>
      <c r="S9" s="37">
        <f>(M9*'Manufacturing inputs'!$B$9)/'Manufacturing inputs'!$B$1</f>
        <v>2.3250360655737703</v>
      </c>
      <c r="T9" s="37">
        <f>Q9*'Manufacturing inputs'!$B$8</f>
        <v>7.1967896018518527</v>
      </c>
      <c r="U9" s="38">
        <f>R9/'Manufacturing inputs'!$B$5</f>
        <v>0.22363573277817814</v>
      </c>
      <c r="V9" s="38">
        <f>S9/'Manufacturing inputs'!$B$5</f>
        <v>1.2845503124716964E-2</v>
      </c>
      <c r="W9" s="38">
        <f>T9/'Manufacturing inputs'!$B$5</f>
        <v>3.9761268518518522E-2</v>
      </c>
    </row>
    <row r="10" spans="1:23" x14ac:dyDescent="0.25">
      <c r="A10" t="s">
        <v>195</v>
      </c>
      <c r="B10" t="s">
        <v>42</v>
      </c>
      <c r="C10" t="s">
        <v>79</v>
      </c>
      <c r="D10">
        <v>1</v>
      </c>
      <c r="E10" s="39">
        <v>213000</v>
      </c>
      <c r="F10">
        <v>10</v>
      </c>
      <c r="G10">
        <v>0</v>
      </c>
      <c r="H10" s="36">
        <v>0</v>
      </c>
      <c r="I10">
        <v>0</v>
      </c>
      <c r="K10" s="11" cm="1">
        <f t="array" ref="K10">IFERROR(INDEX(Max_cycle_table[Takt time],MATCH(1, (Max_cycle_table[Shifts/day]=I10) * (Max_cycle_table[Hours/shift]=J10), 0)),0)</f>
        <v>0</v>
      </c>
      <c r="L10">
        <f t="shared" si="0"/>
        <v>1</v>
      </c>
      <c r="M10" s="11">
        <f t="shared" ref="M10:M15" si="4">IFERROR((G10/K10)*H10*L10*I10,0)</f>
        <v>0</v>
      </c>
      <c r="N10" s="7">
        <f>VLOOKUP(C10,Scale_table[#All],2,FALSE)</f>
        <v>0.99889624724061821</v>
      </c>
      <c r="O10" s="20">
        <f t="shared" si="1"/>
        <v>212764.90066225169</v>
      </c>
      <c r="P10" s="3">
        <f t="shared" si="2"/>
        <v>9.9889624724061825</v>
      </c>
      <c r="Q10">
        <f t="shared" si="3"/>
        <v>0</v>
      </c>
      <c r="R10" s="37">
        <f>O10*'Manufacturing inputs'!$B$2</f>
        <v>8.5105960264900684</v>
      </c>
      <c r="S10" s="37">
        <f>(M10*'Manufacturing inputs'!$B$9)/'Manufacturing inputs'!$B$1</f>
        <v>0</v>
      </c>
      <c r="T10" s="37">
        <f>Q10*'Manufacturing inputs'!$B$8</f>
        <v>0</v>
      </c>
      <c r="U10" s="38">
        <f>R10/'Manufacturing inputs'!$B$5</f>
        <v>4.7019867549668887E-2</v>
      </c>
      <c r="V10" s="38">
        <f>S10/'Manufacturing inputs'!$B$5</f>
        <v>0</v>
      </c>
      <c r="W10" s="38">
        <f>T10/'Manufacturing inputs'!$B$5</f>
        <v>0</v>
      </c>
    </row>
    <row r="11" spans="1:23" x14ac:dyDescent="0.25">
      <c r="A11" t="s">
        <v>196</v>
      </c>
      <c r="B11" t="s">
        <v>42</v>
      </c>
      <c r="C11" t="s">
        <v>78</v>
      </c>
      <c r="D11">
        <v>1</v>
      </c>
      <c r="E11" s="39">
        <v>120000</v>
      </c>
      <c r="F11">
        <v>30</v>
      </c>
      <c r="G11">
        <v>1.5</v>
      </c>
      <c r="H11" s="36">
        <v>0.2</v>
      </c>
      <c r="I11">
        <v>1</v>
      </c>
      <c r="J11" s="40">
        <v>7.5</v>
      </c>
      <c r="K11" s="41">
        <f>'Manufacturing inputs'!$J$5</f>
        <v>342.3</v>
      </c>
      <c r="L11">
        <f t="shared" si="0"/>
        <v>1</v>
      </c>
      <c r="M11" s="11">
        <f t="shared" si="4"/>
        <v>8.7642418930762491E-4</v>
      </c>
      <c r="N11" s="7">
        <f>VLOOKUP(C11,Scale_table[#All],2,FALSE)</f>
        <v>1</v>
      </c>
      <c r="O11" s="20">
        <f t="shared" si="1"/>
        <v>120000</v>
      </c>
      <c r="P11" s="3">
        <f t="shared" si="2"/>
        <v>30</v>
      </c>
      <c r="Q11">
        <f t="shared" si="3"/>
        <v>45</v>
      </c>
      <c r="R11" s="37">
        <f>O11*'Manufacturing inputs'!$B$2</f>
        <v>4.8000000000000007</v>
      </c>
      <c r="S11" s="37">
        <f>(M11*'Manufacturing inputs'!$B$9)/'Manufacturing inputs'!$B$1</f>
        <v>1.515863277826468E-2</v>
      </c>
      <c r="T11" s="37">
        <f>Q11*'Manufacturing inputs'!$B$8</f>
        <v>0.38462500000000005</v>
      </c>
      <c r="U11" s="38">
        <f>R11/'Manufacturing inputs'!$B$5</f>
        <v>2.6519337016574589E-2</v>
      </c>
      <c r="V11" s="38">
        <f>S11/'Manufacturing inputs'!$B$5</f>
        <v>8.3749352366103202E-5</v>
      </c>
      <c r="W11" s="38">
        <f>T11/'Manufacturing inputs'!$B$5</f>
        <v>2.1250000000000002E-3</v>
      </c>
    </row>
    <row r="12" spans="1:23" x14ac:dyDescent="0.25">
      <c r="A12" t="s">
        <v>197</v>
      </c>
      <c r="B12" t="s">
        <v>42</v>
      </c>
      <c r="C12" t="s">
        <v>13</v>
      </c>
      <c r="D12">
        <v>1</v>
      </c>
      <c r="E12" s="39">
        <v>267000</v>
      </c>
      <c r="F12">
        <v>16.3</v>
      </c>
      <c r="G12">
        <v>1</v>
      </c>
      <c r="H12" s="36">
        <v>1</v>
      </c>
      <c r="I12">
        <v>1</v>
      </c>
      <c r="J12" s="40">
        <v>7.5</v>
      </c>
      <c r="K12" s="41">
        <f>'Manufacturing inputs'!$J$5</f>
        <v>342.3</v>
      </c>
      <c r="L12">
        <f t="shared" si="0"/>
        <v>1</v>
      </c>
      <c r="M12" s="11">
        <f t="shared" si="4"/>
        <v>2.9214139643587494E-3</v>
      </c>
      <c r="N12" s="7">
        <f>VLOOKUP(C12,Scale_table[#All],2,FALSE)</f>
        <v>0.99210950080515281</v>
      </c>
      <c r="O12" s="20">
        <f t="shared" si="1"/>
        <v>264893.23671497579</v>
      </c>
      <c r="P12" s="3">
        <f t="shared" si="2"/>
        <v>16.17138486312399</v>
      </c>
      <c r="Q12">
        <f t="shared" si="3"/>
        <v>16.17138486312399</v>
      </c>
      <c r="R12" s="37">
        <f>O12*'Manufacturing inputs'!$B$2</f>
        <v>10.595729468599032</v>
      </c>
      <c r="S12" s="37">
        <f>(M12*'Manufacturing inputs'!$B$9)/'Manufacturing inputs'!$B$1</f>
        <v>5.0528775927548931E-2</v>
      </c>
      <c r="T12" s="37">
        <f>Q12*'Manufacturing inputs'!$B$8</f>
        <v>0.13822042006620144</v>
      </c>
      <c r="U12" s="38">
        <f>R12/'Manufacturing inputs'!$B$5</f>
        <v>5.8539941815464264E-2</v>
      </c>
      <c r="V12" s="38">
        <f>S12/'Manufacturing inputs'!$B$5</f>
        <v>2.7916450788701065E-4</v>
      </c>
      <c r="W12" s="38">
        <f>T12/'Manufacturing inputs'!$B$5</f>
        <v>7.6364872964752178E-4</v>
      </c>
    </row>
    <row r="13" spans="1:23" x14ac:dyDescent="0.25">
      <c r="A13" t="s">
        <v>198</v>
      </c>
      <c r="B13" t="s">
        <v>42</v>
      </c>
      <c r="C13" t="s">
        <v>78</v>
      </c>
      <c r="D13">
        <v>1</v>
      </c>
      <c r="E13" s="39">
        <v>77000</v>
      </c>
      <c r="F13">
        <v>2</v>
      </c>
      <c r="G13">
        <v>5.7</v>
      </c>
      <c r="H13" s="36">
        <v>0.2</v>
      </c>
      <c r="I13">
        <v>1</v>
      </c>
      <c r="J13">
        <v>7.5</v>
      </c>
      <c r="K13" s="11" cm="1">
        <f t="array" ref="K13">IFERROR(INDEX(Max_cycle_table[Takt time],
       MATCH(1, (Max_cycle_table[Shifts/day]=I13) * (Max_cycle_table[Hours/shift]=J13), 0)),0)</f>
        <v>5.7</v>
      </c>
      <c r="L13">
        <f t="shared" si="0"/>
        <v>1</v>
      </c>
      <c r="M13" s="11">
        <f t="shared" si="4"/>
        <v>0.2</v>
      </c>
      <c r="N13" s="7">
        <f>VLOOKUP(C13,Scale_table[#All],2,FALSE)</f>
        <v>1</v>
      </c>
      <c r="O13" s="20">
        <f t="shared" si="1"/>
        <v>77000</v>
      </c>
      <c r="P13" s="3">
        <f t="shared" si="2"/>
        <v>2</v>
      </c>
      <c r="Q13">
        <f t="shared" si="3"/>
        <v>11.4</v>
      </c>
      <c r="R13" s="37">
        <f>O13*'Manufacturing inputs'!$B$2</f>
        <v>3.08</v>
      </c>
      <c r="S13" s="37">
        <f>(M13*'Manufacturing inputs'!$B$9)/'Manufacturing inputs'!$B$1</f>
        <v>3.4592000000000001</v>
      </c>
      <c r="T13" s="37">
        <f>Q13*'Manufacturing inputs'!$B$8</f>
        <v>9.7438333333333349E-2</v>
      </c>
      <c r="U13" s="38">
        <f>R13/'Manufacturing inputs'!$B$5</f>
        <v>1.7016574585635359E-2</v>
      </c>
      <c r="V13" s="38">
        <f>S13/'Manufacturing inputs'!$B$5</f>
        <v>1.9111602209944751E-2</v>
      </c>
      <c r="W13" s="38">
        <f>T13/'Manufacturing inputs'!$B$5</f>
        <v>5.3833333333333337E-4</v>
      </c>
    </row>
    <row r="14" spans="1:23" x14ac:dyDescent="0.25">
      <c r="A14" t="s">
        <v>199</v>
      </c>
      <c r="B14" t="s">
        <v>42</v>
      </c>
      <c r="C14" t="s">
        <v>78</v>
      </c>
      <c r="D14">
        <v>1</v>
      </c>
      <c r="E14" s="39">
        <v>65000</v>
      </c>
      <c r="F14">
        <v>2</v>
      </c>
      <c r="G14">
        <v>1</v>
      </c>
      <c r="H14" s="36">
        <v>0.2</v>
      </c>
      <c r="I14">
        <v>1</v>
      </c>
      <c r="J14">
        <v>7.5</v>
      </c>
      <c r="K14" s="11" cm="1">
        <f t="array" ref="K14">IFERROR(INDEX(Max_cycle_table[Takt time],
       MATCH(1, (Max_cycle_table[Shifts/day]=I14) * (Max_cycle_table[Hours/shift]=J14), 0)),0)</f>
        <v>5.7</v>
      </c>
      <c r="L14">
        <f t="shared" si="0"/>
        <v>1</v>
      </c>
      <c r="M14" s="11">
        <f t="shared" si="4"/>
        <v>3.5087719298245612E-2</v>
      </c>
      <c r="N14" s="7">
        <f>VLOOKUP(C14,Scale_table[#All],2,FALSE)</f>
        <v>1</v>
      </c>
      <c r="O14" s="20">
        <f t="shared" si="1"/>
        <v>65000</v>
      </c>
      <c r="P14" s="3">
        <f t="shared" si="2"/>
        <v>2</v>
      </c>
      <c r="Q14">
        <f t="shared" si="3"/>
        <v>2</v>
      </c>
      <c r="R14" s="37">
        <f>O14*'Manufacturing inputs'!$B$2</f>
        <v>2.6</v>
      </c>
      <c r="S14" s="37">
        <f>(M14*'Manufacturing inputs'!$B$9)/'Manufacturing inputs'!$B$1</f>
        <v>0.60687719298245613</v>
      </c>
      <c r="T14" s="37">
        <f>Q14*'Manufacturing inputs'!$B$8</f>
        <v>1.7094444444444447E-2</v>
      </c>
      <c r="U14" s="38">
        <f>R14/'Manufacturing inputs'!$B$5</f>
        <v>1.4364640883977901E-2</v>
      </c>
      <c r="V14" s="38">
        <f>S14/'Manufacturing inputs'!$B$5</f>
        <v>3.3529126684113597E-3</v>
      </c>
      <c r="W14" s="38">
        <f>T14/'Manufacturing inputs'!$B$5</f>
        <v>9.4444444444444456E-5</v>
      </c>
    </row>
    <row r="15" spans="1:23" x14ac:dyDescent="0.25">
      <c r="A15" s="6" t="s">
        <v>200</v>
      </c>
      <c r="B15" t="s">
        <v>43</v>
      </c>
      <c r="C15" t="s">
        <v>13</v>
      </c>
      <c r="D15">
        <v>1</v>
      </c>
      <c r="E15" s="39">
        <v>498000</v>
      </c>
      <c r="F15">
        <v>0</v>
      </c>
      <c r="G15">
        <v>0</v>
      </c>
      <c r="H15" s="36">
        <v>0</v>
      </c>
      <c r="K15" s="11" cm="1">
        <f t="array" ref="K15">IFERROR(INDEX(Max_cycle_table[Takt time],
       MATCH(1, (Max_cycle_table[Shifts/day]=I15) * (Max_cycle_table[Hours/shift]=J15), 0)),0)</f>
        <v>0</v>
      </c>
      <c r="L15">
        <f t="shared" si="0"/>
        <v>1</v>
      </c>
      <c r="M15" s="11">
        <f t="shared" si="4"/>
        <v>0</v>
      </c>
      <c r="N15" s="7">
        <f>VLOOKUP(C15,Scale_table[#All],2,FALSE)</f>
        <v>0.99210950080515281</v>
      </c>
      <c r="O15" s="20">
        <f t="shared" si="1"/>
        <v>494070.53140096611</v>
      </c>
      <c r="P15" s="3">
        <f t="shared" si="2"/>
        <v>0</v>
      </c>
      <c r="Q15">
        <f t="shared" si="3"/>
        <v>0</v>
      </c>
      <c r="R15" s="37">
        <f>O15/'Manufacturing inputs'!$B$1</f>
        <v>98.814106280193215</v>
      </c>
      <c r="S15" s="37">
        <f>(M15*'Manufacturing inputs'!$B$9)/'Manufacturing inputs'!$B$1</f>
        <v>0</v>
      </c>
      <c r="T15" s="37">
        <f>Q15*'Manufacturing inputs'!$B$8</f>
        <v>0</v>
      </c>
      <c r="U15" s="38">
        <f>R15/'Manufacturing inputs'!$B$5</f>
        <v>0.54593428884084649</v>
      </c>
      <c r="V15" s="38">
        <f>S15/'Manufacturing inputs'!$B$5</f>
        <v>0</v>
      </c>
      <c r="W15" s="38">
        <f>T15/'Manufacturing inputs'!$B$5</f>
        <v>0</v>
      </c>
    </row>
    <row r="16" spans="1:23" x14ac:dyDescent="0.25">
      <c r="A16" s="6" t="s">
        <v>201</v>
      </c>
      <c r="B16" t="s">
        <v>44</v>
      </c>
      <c r="C16" t="s">
        <v>77</v>
      </c>
      <c r="D16">
        <v>1</v>
      </c>
      <c r="E16" s="39">
        <v>75000</v>
      </c>
      <c r="F16">
        <v>7.5</v>
      </c>
      <c r="G16">
        <v>13.7</v>
      </c>
      <c r="H16" s="42"/>
      <c r="I16" s="43"/>
      <c r="J16" s="43"/>
      <c r="K16" s="44"/>
      <c r="L16">
        <f t="shared" si="0"/>
        <v>1</v>
      </c>
      <c r="M16" s="44">
        <f>1/8*L16</f>
        <v>0.125</v>
      </c>
      <c r="N16" s="7">
        <f>VLOOKUP(C16,Scale_table[#All],2,FALSE)</f>
        <v>1</v>
      </c>
      <c r="O16" s="20">
        <f t="shared" si="1"/>
        <v>75000</v>
      </c>
      <c r="P16" s="3">
        <f t="shared" si="2"/>
        <v>7.5</v>
      </c>
      <c r="Q16">
        <f t="shared" si="3"/>
        <v>102.75</v>
      </c>
      <c r="R16" s="37">
        <f>O16*'Manufacturing inputs'!$B$2</f>
        <v>3.0000000000000004</v>
      </c>
      <c r="S16" s="37">
        <f>(M16*'Manufacturing inputs'!$B$9)/'Manufacturing inputs'!$B$1</f>
        <v>2.1619999999999999</v>
      </c>
      <c r="T16" s="37">
        <f>Q16*'Manufacturing inputs'!$B$8</f>
        <v>0.87822708333333344</v>
      </c>
      <c r="U16" s="38">
        <f>R16/'Manufacturing inputs'!$B$5</f>
        <v>1.6574585635359119E-2</v>
      </c>
      <c r="V16" s="38">
        <f>S16/'Manufacturing inputs'!$B$5</f>
        <v>1.1944751381215469E-2</v>
      </c>
      <c r="W16" s="38">
        <f>T16/'Manufacturing inputs'!$B$5</f>
        <v>4.8520833333333341E-3</v>
      </c>
    </row>
    <row r="17" spans="1:23" x14ac:dyDescent="0.25">
      <c r="A17" s="6" t="s">
        <v>202</v>
      </c>
      <c r="B17" t="s">
        <v>44</v>
      </c>
      <c r="C17" t="s">
        <v>77</v>
      </c>
      <c r="D17">
        <v>1</v>
      </c>
      <c r="E17" s="39">
        <v>507000</v>
      </c>
      <c r="F17">
        <v>50</v>
      </c>
      <c r="G17">
        <v>4.3</v>
      </c>
      <c r="H17" s="36">
        <v>2</v>
      </c>
      <c r="I17">
        <v>1</v>
      </c>
      <c r="J17">
        <v>7.5</v>
      </c>
      <c r="K17" s="11" cm="1">
        <f t="array" ref="K17">IFERROR(INDEX(Max_cycle_table[Takt time],
       MATCH(1, (Max_cycle_table[Shifts/day]=I17) * (Max_cycle_table[Hours/shift]=J17), 0)),0)</f>
        <v>5.7</v>
      </c>
      <c r="L17">
        <f t="shared" si="0"/>
        <v>1</v>
      </c>
      <c r="M17" s="11">
        <f t="shared" ref="M17:M23" si="5">IFERROR((G17/K17)*H17*L17*I17,0)</f>
        <v>1.5087719298245612</v>
      </c>
      <c r="N17" s="7">
        <f>VLOOKUP(C17,Scale_table[#All],2,FALSE)</f>
        <v>1</v>
      </c>
      <c r="O17" s="20">
        <f t="shared" si="1"/>
        <v>507000</v>
      </c>
      <c r="P17" s="3">
        <f t="shared" si="2"/>
        <v>50</v>
      </c>
      <c r="Q17">
        <f t="shared" si="3"/>
        <v>215</v>
      </c>
      <c r="R17" s="37">
        <f>O17*'Manufacturing inputs'!$B$2</f>
        <v>20.28</v>
      </c>
      <c r="S17" s="37">
        <f>(M17*'Manufacturing inputs'!$B$9)/'Manufacturing inputs'!$B$1</f>
        <v>26.095719298245609</v>
      </c>
      <c r="T17" s="37">
        <f>Q17*'Manufacturing inputs'!$B$8</f>
        <v>1.837652777777778</v>
      </c>
      <c r="U17" s="38">
        <f>R17/'Manufacturing inputs'!$B$5</f>
        <v>0.11204419889502763</v>
      </c>
      <c r="V17" s="38">
        <f>S17/'Manufacturing inputs'!$B$5</f>
        <v>0.14417524474168844</v>
      </c>
      <c r="W17" s="38">
        <f>T17/'Manufacturing inputs'!$B$5</f>
        <v>1.015277777777778E-2</v>
      </c>
    </row>
    <row r="18" spans="1:23" x14ac:dyDescent="0.25">
      <c r="A18" s="6" t="s">
        <v>203</v>
      </c>
      <c r="B18" t="s">
        <v>44</v>
      </c>
      <c r="C18" t="s">
        <v>78</v>
      </c>
      <c r="D18">
        <v>2</v>
      </c>
      <c r="E18" s="39">
        <v>9091</v>
      </c>
      <c r="F18">
        <f>0.3/2</f>
        <v>0.15</v>
      </c>
      <c r="G18">
        <v>6.6</v>
      </c>
      <c r="H18" s="36">
        <v>0</v>
      </c>
      <c r="I18">
        <v>0</v>
      </c>
      <c r="K18" s="11" cm="1">
        <f t="array" ref="K18">IFERROR(INDEX(Max_cycle_table[Takt time],
       MATCH(1, (Max_cycle_table[Shifts/day]=I18) * (Max_cycle_table[Hours/shift]=J18), 0)),0)</f>
        <v>0</v>
      </c>
      <c r="L18">
        <f t="shared" si="0"/>
        <v>2</v>
      </c>
      <c r="M18" s="11">
        <f t="shared" si="5"/>
        <v>0</v>
      </c>
      <c r="N18" s="7">
        <f>VLOOKUP(C18,Scale_table[#All],2,FALSE)</f>
        <v>1</v>
      </c>
      <c r="O18" s="20">
        <f t="shared" si="1"/>
        <v>18182</v>
      </c>
      <c r="P18" s="3">
        <f t="shared" si="2"/>
        <v>0.3</v>
      </c>
      <c r="Q18">
        <f t="shared" si="3"/>
        <v>1.9799999999999998</v>
      </c>
      <c r="R18" s="37">
        <f>O18*'Manufacturing inputs'!$B$2</f>
        <v>0.72728000000000004</v>
      </c>
      <c r="S18" s="37">
        <f>(M18*'Manufacturing inputs'!$B$9)/'Manufacturing inputs'!$B$1</f>
        <v>0</v>
      </c>
      <c r="T18" s="37">
        <f>Q18*'Manufacturing inputs'!$B$8</f>
        <v>1.6923500000000001E-2</v>
      </c>
      <c r="U18" s="38">
        <f>R18/'Manufacturing inputs'!$B$5</f>
        <v>4.0181215469613264E-3</v>
      </c>
      <c r="V18" s="38">
        <f>S18/'Manufacturing inputs'!$B$5</f>
        <v>0</v>
      </c>
      <c r="W18" s="38">
        <f>T18/'Manufacturing inputs'!$B$5</f>
        <v>9.3500000000000009E-5</v>
      </c>
    </row>
    <row r="19" spans="1:23" x14ac:dyDescent="0.25">
      <c r="A19" s="6" t="s">
        <v>204</v>
      </c>
      <c r="B19" t="s">
        <v>44</v>
      </c>
      <c r="C19" t="s">
        <v>13</v>
      </c>
      <c r="D19">
        <v>2</v>
      </c>
      <c r="E19" s="39">
        <v>68170</v>
      </c>
      <c r="F19">
        <v>1.5</v>
      </c>
      <c r="G19">
        <v>6.6</v>
      </c>
      <c r="H19" s="36">
        <v>1</v>
      </c>
      <c r="I19">
        <v>3</v>
      </c>
      <c r="J19">
        <v>7.5</v>
      </c>
      <c r="K19" s="11" cm="1">
        <f t="array" ref="K19">IFERROR(INDEX(Max_cycle_table[Takt time],
       MATCH(1, (Max_cycle_table[Shifts/day]=I19) * (Max_cycle_table[Hours/shift]=J19), 0)),0)</f>
        <v>17.100000000000001</v>
      </c>
      <c r="L19">
        <f t="shared" si="0"/>
        <v>2</v>
      </c>
      <c r="M19" s="11">
        <f t="shared" si="5"/>
        <v>2.3157894736842102</v>
      </c>
      <c r="N19" s="7">
        <f>VLOOKUP(C19,Scale_table[#All],2,FALSE)</f>
        <v>0.99210950080515281</v>
      </c>
      <c r="O19" s="20">
        <f t="shared" si="1"/>
        <v>135264.20933977453</v>
      </c>
      <c r="P19" s="3">
        <f t="shared" si="2"/>
        <v>2.9763285024154582</v>
      </c>
      <c r="Q19">
        <f t="shared" si="3"/>
        <v>19.643768115942024</v>
      </c>
      <c r="R19" s="37">
        <f>O19*'Manufacturing inputs'!$B$2</f>
        <v>5.4105683735909817</v>
      </c>
      <c r="S19" s="37">
        <f>(M19*'Manufacturing inputs'!$B$9)/'Manufacturing inputs'!$B$1</f>
        <v>40.053894736842103</v>
      </c>
      <c r="T19" s="37">
        <f>Q19*'Manufacturing inputs'!$B$8</f>
        <v>0.16789965136876003</v>
      </c>
      <c r="U19" s="38">
        <f>R19/'Manufacturing inputs'!$B$5</f>
        <v>2.9892642948016475E-2</v>
      </c>
      <c r="V19" s="38">
        <f>S19/'Manufacturing inputs'!$B$5</f>
        <v>0.22129223611514975</v>
      </c>
      <c r="W19" s="38">
        <f>T19/'Manufacturing inputs'!$B$5</f>
        <v>9.2762238325281784E-4</v>
      </c>
    </row>
    <row r="20" spans="1:23" x14ac:dyDescent="0.25">
      <c r="A20" s="6" t="s">
        <v>205</v>
      </c>
      <c r="B20" t="s">
        <v>44</v>
      </c>
      <c r="C20" t="s">
        <v>77</v>
      </c>
      <c r="D20">
        <v>2</v>
      </c>
      <c r="E20" s="39">
        <v>42500</v>
      </c>
      <c r="F20">
        <v>22</v>
      </c>
      <c r="G20">
        <v>6.6</v>
      </c>
      <c r="H20" s="36">
        <v>0</v>
      </c>
      <c r="I20">
        <v>0</v>
      </c>
      <c r="K20" s="11" cm="1">
        <f t="array" ref="K20">IFERROR(INDEX(Max_cycle_table[Takt time],
       MATCH(1, (Max_cycle_table[Shifts/day]=I20) * (Max_cycle_table[Hours/shift]=J20), 0)),0)</f>
        <v>0</v>
      </c>
      <c r="L20">
        <f t="shared" si="0"/>
        <v>2</v>
      </c>
      <c r="M20" s="11">
        <f t="shared" si="5"/>
        <v>0</v>
      </c>
      <c r="N20" s="7">
        <f>VLOOKUP(C20,Scale_table[#All],2,FALSE)</f>
        <v>1</v>
      </c>
      <c r="O20" s="20">
        <f t="shared" si="1"/>
        <v>85000</v>
      </c>
      <c r="P20" s="3">
        <f t="shared" si="2"/>
        <v>44</v>
      </c>
      <c r="Q20">
        <f t="shared" si="3"/>
        <v>290.39999999999998</v>
      </c>
      <c r="R20" s="37">
        <f>O20*'Manufacturing inputs'!$B$2</f>
        <v>3.4000000000000004</v>
      </c>
      <c r="S20" s="37">
        <f>(M20*'Manufacturing inputs'!$B$9)/'Manufacturing inputs'!$B$1</f>
        <v>0</v>
      </c>
      <c r="T20" s="37">
        <f>Q20*'Manufacturing inputs'!$B$8</f>
        <v>2.4821133333333334</v>
      </c>
      <c r="U20" s="38">
        <f>R20/'Manufacturing inputs'!$B$5</f>
        <v>1.8784530386740335E-2</v>
      </c>
      <c r="V20" s="38">
        <f>S20/'Manufacturing inputs'!$B$5</f>
        <v>0</v>
      </c>
      <c r="W20" s="38">
        <f>T20/'Manufacturing inputs'!$B$5</f>
        <v>1.3713333333333334E-2</v>
      </c>
    </row>
    <row r="21" spans="1:23" x14ac:dyDescent="0.25">
      <c r="A21" s="6" t="s">
        <v>206</v>
      </c>
      <c r="B21" t="s">
        <v>44</v>
      </c>
      <c r="C21" t="s">
        <v>78</v>
      </c>
      <c r="D21">
        <v>2</v>
      </c>
      <c r="E21" s="39">
        <v>3056</v>
      </c>
      <c r="F21">
        <v>0.1</v>
      </c>
      <c r="G21">
        <v>6.6</v>
      </c>
      <c r="H21" s="36">
        <v>0</v>
      </c>
      <c r="I21">
        <v>0</v>
      </c>
      <c r="K21" s="11" cm="1">
        <f t="array" ref="K21">IFERROR(INDEX(Max_cycle_table[Takt time],
       MATCH(1, (Max_cycle_table[Shifts/day]=I21) * (Max_cycle_table[Hours/shift]=J21), 0)),0)</f>
        <v>0</v>
      </c>
      <c r="L21">
        <f t="shared" si="0"/>
        <v>2</v>
      </c>
      <c r="M21" s="11">
        <f t="shared" si="5"/>
        <v>0</v>
      </c>
      <c r="N21" s="7">
        <f>VLOOKUP(C21,Scale_table[#All],2,FALSE)</f>
        <v>1</v>
      </c>
      <c r="O21" s="20">
        <f t="shared" si="1"/>
        <v>6112</v>
      </c>
      <c r="P21" s="3">
        <f t="shared" si="2"/>
        <v>0.2</v>
      </c>
      <c r="Q21">
        <f t="shared" si="3"/>
        <v>1.32</v>
      </c>
      <c r="R21" s="37">
        <f>O21*'Manufacturing inputs'!$B$2</f>
        <v>0.24448000000000003</v>
      </c>
      <c r="S21" s="37">
        <f>(M21*'Manufacturing inputs'!$B$9)/'Manufacturing inputs'!$B$1</f>
        <v>0</v>
      </c>
      <c r="T21" s="37">
        <f>Q21*'Manufacturing inputs'!$B$8</f>
        <v>1.1282333333333335E-2</v>
      </c>
      <c r="U21" s="38">
        <f>R21/'Manufacturing inputs'!$B$5</f>
        <v>1.3507182320441991E-3</v>
      </c>
      <c r="V21" s="38">
        <f>S21/'Manufacturing inputs'!$B$5</f>
        <v>0</v>
      </c>
      <c r="W21" s="38">
        <f>T21/'Manufacturing inputs'!$B$5</f>
        <v>6.2333333333333349E-5</v>
      </c>
    </row>
    <row r="22" spans="1:23" x14ac:dyDescent="0.25">
      <c r="A22" s="6" t="s">
        <v>207</v>
      </c>
      <c r="B22" t="s">
        <v>44</v>
      </c>
      <c r="C22" t="s">
        <v>78</v>
      </c>
      <c r="D22">
        <v>1</v>
      </c>
      <c r="E22" s="39">
        <v>15000</v>
      </c>
      <c r="F22">
        <v>1</v>
      </c>
      <c r="G22">
        <v>2</v>
      </c>
      <c r="H22" s="36">
        <v>1</v>
      </c>
      <c r="I22">
        <v>1</v>
      </c>
      <c r="J22">
        <v>7.5</v>
      </c>
      <c r="K22" s="11" cm="1">
        <f t="array" ref="K22">IFERROR(INDEX(Max_cycle_table[Takt time],
       MATCH(1, (Max_cycle_table[Shifts/day]=I22) * (Max_cycle_table[Hours/shift]=J22), 0)),0)</f>
        <v>5.7</v>
      </c>
      <c r="L22">
        <f t="shared" si="0"/>
        <v>1</v>
      </c>
      <c r="M22" s="11">
        <f t="shared" si="5"/>
        <v>0.35087719298245612</v>
      </c>
      <c r="N22" s="7">
        <f>VLOOKUP(C22,Scale_table[#All],2,FALSE)</f>
        <v>1</v>
      </c>
      <c r="O22" s="20">
        <f t="shared" si="1"/>
        <v>15000</v>
      </c>
      <c r="P22" s="3">
        <f t="shared" si="2"/>
        <v>1</v>
      </c>
      <c r="Q22">
        <f t="shared" si="3"/>
        <v>2</v>
      </c>
      <c r="R22" s="37">
        <f>O22*'Manufacturing inputs'!$B$2</f>
        <v>0.60000000000000009</v>
      </c>
      <c r="S22" s="37">
        <f>(M22*'Manufacturing inputs'!$B$9)/'Manufacturing inputs'!$B$1</f>
        <v>6.0687719298245613</v>
      </c>
      <c r="T22" s="37">
        <f>Q22*'Manufacturing inputs'!$B$8</f>
        <v>1.7094444444444447E-2</v>
      </c>
      <c r="U22" s="38">
        <f>R22/'Manufacturing inputs'!$B$5</f>
        <v>3.3149171270718237E-3</v>
      </c>
      <c r="V22" s="38">
        <f>S22/'Manufacturing inputs'!$B$5</f>
        <v>3.3529126684113598E-2</v>
      </c>
      <c r="W22" s="38">
        <f>T22/'Manufacturing inputs'!$B$5</f>
        <v>9.4444444444444456E-5</v>
      </c>
    </row>
    <row r="23" spans="1:23" x14ac:dyDescent="0.25">
      <c r="A23" s="13" t="s">
        <v>208</v>
      </c>
      <c r="B23" t="s">
        <v>44</v>
      </c>
      <c r="C23" t="s">
        <v>77</v>
      </c>
      <c r="D23">
        <v>1</v>
      </c>
      <c r="E23" s="39">
        <v>2550000</v>
      </c>
      <c r="F23">
        <v>320</v>
      </c>
      <c r="G23" s="8">
        <v>18.3</v>
      </c>
      <c r="H23" s="36">
        <v>0.5</v>
      </c>
      <c r="I23">
        <v>3</v>
      </c>
      <c r="J23">
        <v>8</v>
      </c>
      <c r="K23" s="11" cm="1">
        <f t="array" ref="K23">IFERROR(INDEX(Max_cycle_table[Takt time],
       MATCH(1, (Max_cycle_table[Shifts/day]=I23) * (Max_cycle_table[Hours/shift]=J23), 0)),0)</f>
        <v>18.3</v>
      </c>
      <c r="L23">
        <f t="shared" si="0"/>
        <v>1</v>
      </c>
      <c r="M23" s="11">
        <f t="shared" si="5"/>
        <v>1.5</v>
      </c>
      <c r="N23" s="7">
        <f>VLOOKUP(C23,Scale_table[#All],2,FALSE)</f>
        <v>1</v>
      </c>
      <c r="O23" s="20">
        <f t="shared" si="1"/>
        <v>2550000</v>
      </c>
      <c r="P23" s="3">
        <f t="shared" si="2"/>
        <v>320</v>
      </c>
      <c r="Q23">
        <f t="shared" si="3"/>
        <v>5856</v>
      </c>
      <c r="R23" s="37">
        <f>O23*'Manufacturing inputs'!$B$2</f>
        <v>102.00000000000001</v>
      </c>
      <c r="S23" s="37">
        <f>(M23*'Manufacturing inputs'!$B$9)/'Manufacturing inputs'!$B$1</f>
        <v>25.943999999999999</v>
      </c>
      <c r="T23" s="37">
        <f>Q23*'Manufacturing inputs'!$B$8</f>
        <v>50.052533333333344</v>
      </c>
      <c r="U23" s="38">
        <f>R23/'Manufacturing inputs'!$B$5</f>
        <v>0.56353591160221006</v>
      </c>
      <c r="V23" s="38">
        <f>S23/'Manufacturing inputs'!$B$5</f>
        <v>0.14333701657458564</v>
      </c>
      <c r="W23" s="38">
        <f>T23/'Manufacturing inputs'!$B$5</f>
        <v>0.27653333333333341</v>
      </c>
    </row>
    <row r="24" spans="1:23" x14ac:dyDescent="0.25">
      <c r="A24" s="6" t="s">
        <v>209</v>
      </c>
      <c r="B24" t="s">
        <v>44</v>
      </c>
      <c r="C24" t="s">
        <v>77</v>
      </c>
      <c r="D24">
        <v>1</v>
      </c>
      <c r="E24" s="39">
        <v>46875</v>
      </c>
      <c r="F24">
        <v>5.5</v>
      </c>
      <c r="G24">
        <v>11</v>
      </c>
      <c r="H24" s="45"/>
      <c r="I24" s="43"/>
      <c r="J24" s="43"/>
      <c r="K24" s="44"/>
      <c r="L24">
        <f t="shared" si="0"/>
        <v>1</v>
      </c>
      <c r="M24" s="11">
        <f>1/7.5*L24</f>
        <v>0.13333333333333333</v>
      </c>
      <c r="N24" s="7">
        <f>VLOOKUP(C24,Scale_table[#All],2,FALSE)</f>
        <v>1</v>
      </c>
      <c r="O24" s="20">
        <f t="shared" si="1"/>
        <v>46875</v>
      </c>
      <c r="P24" s="3">
        <f t="shared" si="2"/>
        <v>5.5</v>
      </c>
      <c r="Q24">
        <f t="shared" si="3"/>
        <v>60.5</v>
      </c>
      <c r="R24" s="37">
        <f>O24*'Manufacturing inputs'!$B$2</f>
        <v>1.8750000000000002</v>
      </c>
      <c r="S24" s="37">
        <f>(M24*'Manufacturing inputs'!$B$9)/'Manufacturing inputs'!$B$1</f>
        <v>2.3061333333333334</v>
      </c>
      <c r="T24" s="37">
        <f>Q24*'Manufacturing inputs'!$B$8</f>
        <v>0.51710694444444449</v>
      </c>
      <c r="U24" s="38">
        <f>R24/'Manufacturing inputs'!$B$5</f>
        <v>1.0359116022099449E-2</v>
      </c>
      <c r="V24" s="38">
        <f>S24/'Manufacturing inputs'!$B$5</f>
        <v>1.2741068139963167E-2</v>
      </c>
      <c r="W24" s="38">
        <f>T24/'Manufacturing inputs'!$B$5</f>
        <v>2.8569444444444445E-3</v>
      </c>
    </row>
    <row r="25" spans="1:23" x14ac:dyDescent="0.25">
      <c r="A25" s="6" t="s">
        <v>210</v>
      </c>
      <c r="B25" t="s">
        <v>45</v>
      </c>
      <c r="C25" s="6" t="s">
        <v>78</v>
      </c>
      <c r="D25">
        <v>2</v>
      </c>
      <c r="E25" s="39">
        <f>340000/2</f>
        <v>170000</v>
      </c>
      <c r="F25">
        <v>5</v>
      </c>
      <c r="G25">
        <v>16.2</v>
      </c>
      <c r="H25" s="36">
        <v>0.2</v>
      </c>
      <c r="I25">
        <v>3</v>
      </c>
      <c r="J25">
        <v>7.5</v>
      </c>
      <c r="K25" s="11" cm="1">
        <f t="array" ref="K25">IFERROR(INDEX(Max_cycle_table[Takt time],
       MATCH(1, (Max_cycle_table[Shifts/day]=I25) * (Max_cycle_table[Hours/shift]=J25), 0)),0)</f>
        <v>17.100000000000001</v>
      </c>
      <c r="L25">
        <f t="shared" si="0"/>
        <v>2</v>
      </c>
      <c r="M25" s="11">
        <f>IFERROR((G25/K25)*H25*L25*I25,0)</f>
        <v>1.1368421052631579</v>
      </c>
      <c r="N25" s="7">
        <f>VLOOKUP(C25,Scale_table[#All],2,FALSE)</f>
        <v>1</v>
      </c>
      <c r="O25" s="20">
        <f t="shared" si="1"/>
        <v>340000</v>
      </c>
      <c r="P25" s="3">
        <f t="shared" si="2"/>
        <v>10</v>
      </c>
      <c r="Q25">
        <f t="shared" si="3"/>
        <v>162</v>
      </c>
      <c r="R25" s="37">
        <f>O25*'Manufacturing inputs'!$B$2</f>
        <v>13.600000000000001</v>
      </c>
      <c r="S25" s="37">
        <f>(M25*'Manufacturing inputs'!$B$9)/'Manufacturing inputs'!$B$1</f>
        <v>19.662821052631578</v>
      </c>
      <c r="T25" s="37">
        <f>Q25*'Manufacturing inputs'!$B$8</f>
        <v>1.3846500000000002</v>
      </c>
      <c r="U25" s="38">
        <f>R25/'Manufacturing inputs'!$B$5</f>
        <v>7.5138121546961339E-2</v>
      </c>
      <c r="V25" s="38">
        <f>S25/'Manufacturing inputs'!$B$5</f>
        <v>0.10863437045652806</v>
      </c>
      <c r="W25" s="38">
        <f>T25/'Manufacturing inputs'!$B$5</f>
        <v>7.6500000000000005E-3</v>
      </c>
    </row>
    <row r="26" spans="1:23" x14ac:dyDescent="0.25">
      <c r="A26" s="6" t="s">
        <v>211</v>
      </c>
      <c r="B26" t="s">
        <v>45</v>
      </c>
      <c r="C26" t="s">
        <v>13</v>
      </c>
      <c r="D26">
        <v>8</v>
      </c>
      <c r="E26" s="39">
        <f>720000/8</f>
        <v>90000</v>
      </c>
      <c r="F26">
        <v>2</v>
      </c>
      <c r="G26">
        <v>5.0999999999999996</v>
      </c>
      <c r="H26" s="36">
        <v>0.2</v>
      </c>
      <c r="I26">
        <v>1</v>
      </c>
      <c r="J26">
        <v>7.5</v>
      </c>
      <c r="K26" s="11" cm="1">
        <f t="array" ref="K26">IFERROR(INDEX(Max_cycle_table[Takt time],
       MATCH(1, (Max_cycle_table[Shifts/day]=I26) * (Max_cycle_table[Hours/shift]=J26), 0)),0)</f>
        <v>5.7</v>
      </c>
      <c r="L26">
        <v>8</v>
      </c>
      <c r="M26" s="11">
        <f>IFERROR((G26/K26)*H26*L26*I26,0)</f>
        <v>1.4315789473684211</v>
      </c>
      <c r="N26" s="7">
        <f>VLOOKUP(C26,Scale_table[#All],2,FALSE)</f>
        <v>0.99210950080515281</v>
      </c>
      <c r="O26" s="20">
        <f t="shared" si="1"/>
        <v>714318.84057970997</v>
      </c>
      <c r="P26" s="3">
        <f t="shared" si="2"/>
        <v>15.873752012882445</v>
      </c>
      <c r="Q26">
        <f t="shared" si="3"/>
        <v>80.956135265700468</v>
      </c>
      <c r="R26" s="37">
        <f>O26*'Manufacturing inputs'!$B$2</f>
        <v>28.572753623188401</v>
      </c>
      <c r="S26" s="37">
        <f>(M26*'Manufacturing inputs'!$B$9)/'Manufacturing inputs'!$B$1</f>
        <v>24.76058947368421</v>
      </c>
      <c r="T26" s="37">
        <f>Q26*'Manufacturing inputs'!$B$8</f>
        <v>0.69195007836822331</v>
      </c>
      <c r="U26" s="38">
        <f>R26/'Manufacturing inputs'!$B$5</f>
        <v>0.15786051725518455</v>
      </c>
      <c r="V26" s="38">
        <f>S26/'Manufacturing inputs'!$B$5</f>
        <v>0.13679883687118347</v>
      </c>
      <c r="W26" s="38">
        <f>T26/'Manufacturing inputs'!$B$5</f>
        <v>3.8229286097691897E-3</v>
      </c>
    </row>
    <row r="27" spans="1:23" x14ac:dyDescent="0.25">
      <c r="A27" s="6" t="s">
        <v>212</v>
      </c>
      <c r="B27" t="s">
        <v>45</v>
      </c>
      <c r="C27" t="s">
        <v>13</v>
      </c>
      <c r="D27">
        <v>1</v>
      </c>
      <c r="E27" s="39">
        <v>1147500</v>
      </c>
      <c r="F27">
        <v>100</v>
      </c>
      <c r="G27">
        <v>17.600000000000001</v>
      </c>
      <c r="H27" s="36">
        <v>0.2</v>
      </c>
      <c r="I27">
        <v>3</v>
      </c>
      <c r="J27">
        <v>8</v>
      </c>
      <c r="K27" s="11" cm="1">
        <f t="array" ref="K27">IFERROR(INDEX(Max_cycle_table[Takt time],
       MATCH(1, (Max_cycle_table[Shifts/day]=I27) * (Max_cycle_table[Hours/shift]=J27), 0)),0)</f>
        <v>18.3</v>
      </c>
      <c r="L27">
        <f>IFERROR(IF(G27&gt;K27,D27*ROUNDUP(G27/K27,0),D27),D27)</f>
        <v>1</v>
      </c>
      <c r="M27" s="11">
        <f>IFERROR((G27/K27)*H27*L27*I27,0)</f>
        <v>0.57704918032786889</v>
      </c>
      <c r="N27" s="7">
        <f>VLOOKUP(C27,Scale_table[#All],2,FALSE)</f>
        <v>0.99210950080515281</v>
      </c>
      <c r="O27" s="20">
        <f t="shared" si="1"/>
        <v>1138445.6521739129</v>
      </c>
      <c r="P27" s="3">
        <f t="shared" si="2"/>
        <v>99.210950080515275</v>
      </c>
      <c r="Q27">
        <f t="shared" si="3"/>
        <v>1746.112721417069</v>
      </c>
      <c r="R27" s="37">
        <f>O27*'Manufacturing inputs'!$B$2</f>
        <v>45.537826086956521</v>
      </c>
      <c r="S27" s="37">
        <f>(M27*'Manufacturing inputs'!$B$9)/'Manufacturing inputs'!$B$1</f>
        <v>9.9806426229508194</v>
      </c>
      <c r="T27" s="37">
        <f>Q27*'Manufacturing inputs'!$B$8</f>
        <v>14.924413455000895</v>
      </c>
      <c r="U27" s="38">
        <f>R27/'Manufacturing inputs'!$B$5</f>
        <v>0.25159019937545041</v>
      </c>
      <c r="V27" s="38">
        <f>S27/'Manufacturing inputs'!$B$5</f>
        <v>5.514167195000453E-2</v>
      </c>
      <c r="W27" s="38">
        <f>T27/'Manufacturing inputs'!$B$5</f>
        <v>8.2455322955806057E-2</v>
      </c>
    </row>
    <row r="28" spans="1:23" x14ac:dyDescent="0.25">
      <c r="A28" s="6" t="s">
        <v>213</v>
      </c>
      <c r="B28" t="s">
        <v>46</v>
      </c>
      <c r="C28" t="s">
        <v>13</v>
      </c>
      <c r="D28">
        <v>1</v>
      </c>
      <c r="E28" s="39">
        <v>80000</v>
      </c>
      <c r="F28">
        <v>0</v>
      </c>
      <c r="G28" s="46">
        <v>0</v>
      </c>
      <c r="H28" s="36">
        <v>1.6</v>
      </c>
      <c r="I28">
        <v>0</v>
      </c>
      <c r="K28" s="11" cm="1">
        <f t="array" ref="K28">IFERROR(INDEX(Max_cycle_table[Takt time],
       MATCH(1, (Max_cycle_table[Shifts/day]=I28) * (Max_cycle_table[Hours/shift]=J28), 0)),0)</f>
        <v>0</v>
      </c>
      <c r="L28">
        <f>IFERROR(IF(G28&gt;K28,D28*ROUNDUP(G28/K28,0),D28),D28)</f>
        <v>1</v>
      </c>
      <c r="M28" s="11">
        <f>H28*L28</f>
        <v>1.6</v>
      </c>
      <c r="N28" s="7">
        <f>VLOOKUP(C28,Scale_table[#All],2,FALSE)</f>
        <v>0.99210950080515281</v>
      </c>
      <c r="O28" s="20">
        <f t="shared" si="1"/>
        <v>79368.760064412229</v>
      </c>
      <c r="P28" s="3">
        <f t="shared" si="2"/>
        <v>0</v>
      </c>
      <c r="Q28">
        <f t="shared" si="3"/>
        <v>0</v>
      </c>
      <c r="R28" s="37">
        <f>O28*'Manufacturing inputs'!$B$2</f>
        <v>3.1747504025764894</v>
      </c>
      <c r="S28" s="37">
        <f>(M28*'Manufacturing inputs'!$B$9)/'Manufacturing inputs'!$B$1</f>
        <v>27.6736</v>
      </c>
      <c r="T28" s="37">
        <f>Q28*'Manufacturing inputs'!$B$8</f>
        <v>0</v>
      </c>
      <c r="U28" s="38">
        <f>R28/'Manufacturing inputs'!$B$5</f>
        <v>1.7540057472798284E-2</v>
      </c>
      <c r="V28" s="38">
        <f>S28/'Manufacturing inputs'!$B$5</f>
        <v>0.15289281767955801</v>
      </c>
      <c r="W28" s="38">
        <f>T28/'Manufacturing inputs'!$B$5</f>
        <v>0</v>
      </c>
    </row>
    <row r="29" spans="1:23" x14ac:dyDescent="0.25">
      <c r="A29" s="6" t="s">
        <v>214</v>
      </c>
      <c r="B29" t="s">
        <v>46</v>
      </c>
      <c r="C29" t="s">
        <v>13</v>
      </c>
      <c r="D29">
        <v>1</v>
      </c>
      <c r="E29" s="39">
        <v>1700000</v>
      </c>
      <c r="F29">
        <v>90</v>
      </c>
      <c r="G29" s="47">
        <v>1</v>
      </c>
      <c r="H29" s="36">
        <v>2</v>
      </c>
      <c r="I29">
        <v>0</v>
      </c>
      <c r="K29" s="11" cm="1">
        <f t="array" ref="K29">IFERROR(INDEX(Max_cycle_table[Takt time],
       MATCH(1, (Max_cycle_table[Shifts/day]=I29) * (Max_cycle_table[Hours/shift]=J29), 0)),0)</f>
        <v>0</v>
      </c>
      <c r="L29">
        <f>IFERROR(IF(G29&gt;K29,D29*ROUNDUP(G29/K29,0),D29),D29)</f>
        <v>1</v>
      </c>
      <c r="M29" s="11">
        <f>H29*G29*L29</f>
        <v>2</v>
      </c>
      <c r="N29" s="7">
        <f>VLOOKUP(C29,Scale_table[#All],2,FALSE)</f>
        <v>0.99210950080515281</v>
      </c>
      <c r="O29" s="20">
        <f t="shared" si="1"/>
        <v>1686586.1513687598</v>
      </c>
      <c r="P29" s="3">
        <f t="shared" si="2"/>
        <v>89.289855072463752</v>
      </c>
      <c r="Q29" s="48">
        <f>P29*G29*24/24.5</f>
        <v>87.467613132209394</v>
      </c>
      <c r="R29" s="37">
        <f>O29*'Manufacturing inputs'!$B$2</f>
        <v>67.463446054750392</v>
      </c>
      <c r="S29" s="37">
        <f>(M29*'Manufacturing inputs'!$B$9)/'Manufacturing inputs'!$B$1</f>
        <v>34.591999999999999</v>
      </c>
      <c r="T29" s="49">
        <f>Q29</f>
        <v>87.467613132209394</v>
      </c>
      <c r="U29" s="38">
        <f>R29/'Manufacturing inputs'!$B$5</f>
        <v>0.37272622129696348</v>
      </c>
      <c r="V29" s="38">
        <f>S29/'Manufacturing inputs'!$B$5</f>
        <v>0.1911160220994475</v>
      </c>
      <c r="W29" s="38">
        <f>T29/'Manufacturing inputs'!$B$5</f>
        <v>0.48324648139342208</v>
      </c>
    </row>
    <row r="32" spans="1:23" x14ac:dyDescent="0.25">
      <c r="R32" s="18"/>
      <c r="U32" s="7"/>
    </row>
    <row r="37" spans="18:23" x14ac:dyDescent="0.25">
      <c r="R37" s="18"/>
      <c r="S37" s="18"/>
      <c r="T37" s="18"/>
      <c r="U37" s="18"/>
      <c r="V37" s="18"/>
      <c r="W37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2426-BF89-4036-B81D-10DE671C0672}">
  <sheetPr>
    <tabColor theme="8" tint="0.79998168889431442"/>
  </sheetPr>
  <dimension ref="A1:I13"/>
  <sheetViews>
    <sheetView workbookViewId="0">
      <selection activeCell="O6" sqref="O6"/>
    </sheetView>
  </sheetViews>
  <sheetFormatPr defaultColWidth="8.85546875" defaultRowHeight="15" x14ac:dyDescent="0.25"/>
  <cols>
    <col min="1" max="1" width="11.85546875" bestFit="1" customWidth="1"/>
    <col min="3" max="3" width="10.140625" customWidth="1"/>
  </cols>
  <sheetData>
    <row r="1" spans="1:9" x14ac:dyDescent="0.25">
      <c r="B1" t="s">
        <v>121</v>
      </c>
      <c r="C1" t="s">
        <v>123</v>
      </c>
      <c r="I1" t="s">
        <v>125</v>
      </c>
    </row>
    <row r="2" spans="1:9" x14ac:dyDescent="0.25">
      <c r="A2" t="s">
        <v>131</v>
      </c>
      <c r="B2" t="s">
        <v>0</v>
      </c>
      <c r="C2" t="s">
        <v>215</v>
      </c>
      <c r="H2" t="s">
        <v>164</v>
      </c>
      <c r="I2">
        <v>27</v>
      </c>
    </row>
    <row r="3" spans="1:9" x14ac:dyDescent="0.25">
      <c r="A3" t="s">
        <v>216</v>
      </c>
      <c r="B3">
        <v>1.7</v>
      </c>
      <c r="C3">
        <v>7.8</v>
      </c>
    </row>
    <row r="4" spans="1:9" x14ac:dyDescent="0.25">
      <c r="A4" t="s">
        <v>147</v>
      </c>
      <c r="B4">
        <v>30</v>
      </c>
      <c r="C4">
        <v>6.3</v>
      </c>
    </row>
    <row r="5" spans="1:9" x14ac:dyDescent="0.25">
      <c r="A5" t="s">
        <v>217</v>
      </c>
      <c r="B5">
        <v>30</v>
      </c>
      <c r="C5">
        <v>6.1</v>
      </c>
    </row>
    <row r="6" spans="1:9" x14ac:dyDescent="0.25">
      <c r="A6" t="s">
        <v>146</v>
      </c>
      <c r="B6">
        <v>260</v>
      </c>
      <c r="C6">
        <v>7.23</v>
      </c>
    </row>
    <row r="7" spans="1:9" x14ac:dyDescent="0.25">
      <c r="A7" t="s">
        <v>143</v>
      </c>
      <c r="B7">
        <v>55</v>
      </c>
      <c r="C7">
        <v>6.3</v>
      </c>
    </row>
    <row r="8" spans="1:9" x14ac:dyDescent="0.25">
      <c r="A8" t="s">
        <v>218</v>
      </c>
      <c r="B8">
        <v>25</v>
      </c>
      <c r="C8">
        <v>7.8</v>
      </c>
    </row>
    <row r="9" spans="1:9" x14ac:dyDescent="0.25">
      <c r="A9" t="s">
        <v>116</v>
      </c>
      <c r="B9">
        <v>19</v>
      </c>
      <c r="C9">
        <v>7.8</v>
      </c>
    </row>
    <row r="10" spans="1:9" x14ac:dyDescent="0.25">
      <c r="A10" t="s">
        <v>148</v>
      </c>
      <c r="B10">
        <v>29</v>
      </c>
      <c r="C10">
        <v>6.67</v>
      </c>
    </row>
    <row r="11" spans="1:9" x14ac:dyDescent="0.25">
      <c r="A11" t="s">
        <v>219</v>
      </c>
      <c r="B11">
        <f>B7</f>
        <v>55</v>
      </c>
      <c r="C11">
        <f>C7</f>
        <v>6.3</v>
      </c>
    </row>
    <row r="12" spans="1:9" x14ac:dyDescent="0.25">
      <c r="A12" t="s">
        <v>220</v>
      </c>
      <c r="B12">
        <f>B7</f>
        <v>55</v>
      </c>
      <c r="C12">
        <f>C7</f>
        <v>6.3</v>
      </c>
    </row>
    <row r="13" spans="1:9" x14ac:dyDescent="0.25">
      <c r="A13" t="s">
        <v>221</v>
      </c>
      <c r="B13">
        <f>B6</f>
        <v>260</v>
      </c>
      <c r="C13">
        <f>C6</f>
        <v>7.23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71D2-FD03-4E97-9490-2AB72E0AB4C3}">
  <sheetPr>
    <tabColor theme="4" tint="0.79998168889431442"/>
  </sheetPr>
  <dimension ref="A1:F81"/>
  <sheetViews>
    <sheetView topLeftCell="A52" zoomScale="136" workbookViewId="0">
      <selection activeCell="B56" sqref="B56"/>
    </sheetView>
  </sheetViews>
  <sheetFormatPr defaultColWidth="8.85546875" defaultRowHeight="15" x14ac:dyDescent="0.25"/>
  <cols>
    <col min="1" max="1" width="29" customWidth="1"/>
  </cols>
  <sheetData>
    <row r="1" spans="1:3" x14ac:dyDescent="0.25">
      <c r="A1" t="s">
        <v>222</v>
      </c>
    </row>
    <row r="3" spans="1:3" x14ac:dyDescent="0.25">
      <c r="A3" t="s">
        <v>223</v>
      </c>
    </row>
    <row r="5" spans="1:3" x14ac:dyDescent="0.25">
      <c r="A5" t="s">
        <v>224</v>
      </c>
      <c r="B5">
        <f>'Cross-layer'!B4+'Cross-layer'!B6</f>
        <v>17</v>
      </c>
      <c r="C5" t="s">
        <v>88</v>
      </c>
    </row>
    <row r="6" spans="1:3" x14ac:dyDescent="0.25">
      <c r="A6" t="s">
        <v>225</v>
      </c>
      <c r="B6">
        <f>'Cross-layer'!B5+'Cross-layer'!B6</f>
        <v>9</v>
      </c>
      <c r="C6" t="s">
        <v>88</v>
      </c>
    </row>
    <row r="7" spans="1:3" x14ac:dyDescent="0.25">
      <c r="A7" t="s">
        <v>226</v>
      </c>
      <c r="B7">
        <f>'Cross-layer'!B6</f>
        <v>1</v>
      </c>
    </row>
    <row r="8" spans="1:3" x14ac:dyDescent="0.25">
      <c r="A8" t="s">
        <v>227</v>
      </c>
      <c r="B8">
        <f>'Cross-layer'!B7</f>
        <v>3.2</v>
      </c>
      <c r="C8" t="s">
        <v>88</v>
      </c>
    </row>
    <row r="10" spans="1:3" x14ac:dyDescent="0.25">
      <c r="A10" t="s">
        <v>228</v>
      </c>
    </row>
    <row r="12" spans="1:3" x14ac:dyDescent="0.25">
      <c r="A12" t="s">
        <v>229</v>
      </c>
      <c r="B12">
        <f>'Cross-layer'!B22</f>
        <v>20.2</v>
      </c>
      <c r="C12" t="s">
        <v>88</v>
      </c>
    </row>
    <row r="13" spans="1:3" x14ac:dyDescent="0.25">
      <c r="A13" t="s">
        <v>230</v>
      </c>
      <c r="B13">
        <f>'Cross-layer'!B23</f>
        <v>12.2</v>
      </c>
      <c r="C13" t="s">
        <v>88</v>
      </c>
    </row>
    <row r="15" spans="1:3" x14ac:dyDescent="0.25">
      <c r="A15" t="s">
        <v>231</v>
      </c>
    </row>
    <row r="17" spans="1:3" x14ac:dyDescent="0.25">
      <c r="A17" t="s">
        <v>232</v>
      </c>
    </row>
    <row r="19" spans="1:3" x14ac:dyDescent="0.25">
      <c r="A19" t="s">
        <v>233</v>
      </c>
      <c r="B19">
        <f>0.4/2</f>
        <v>0.2</v>
      </c>
      <c r="C19" t="s">
        <v>88</v>
      </c>
    </row>
    <row r="20" spans="1:3" x14ac:dyDescent="0.25">
      <c r="A20" t="s">
        <v>234</v>
      </c>
      <c r="B20" s="11">
        <f>PI()*B19^2</f>
        <v>0.12566370614359174</v>
      </c>
      <c r="C20" t="s">
        <v>94</v>
      </c>
    </row>
    <row r="21" spans="1:3" x14ac:dyDescent="0.25">
      <c r="A21" t="s">
        <v>235</v>
      </c>
      <c r="B21" s="11">
        <v>1.2</v>
      </c>
      <c r="C21" t="s">
        <v>88</v>
      </c>
    </row>
    <row r="22" spans="1:3" x14ac:dyDescent="0.25">
      <c r="A22" t="s">
        <v>236</v>
      </c>
      <c r="B22" s="5">
        <f>B8/B21</f>
        <v>2.666666666666667</v>
      </c>
    </row>
    <row r="23" spans="1:3" x14ac:dyDescent="0.25">
      <c r="A23" t="s">
        <v>237</v>
      </c>
      <c r="B23" s="11">
        <f>B20*B22</f>
        <v>0.33510321638291135</v>
      </c>
      <c r="C23" t="s">
        <v>94</v>
      </c>
    </row>
    <row r="24" spans="1:3" x14ac:dyDescent="0.25">
      <c r="A24" t="s">
        <v>238</v>
      </c>
      <c r="B24" s="11">
        <f>SQRT(B23/PI())</f>
        <v>0.32659863237109044</v>
      </c>
      <c r="C24" t="s">
        <v>88</v>
      </c>
    </row>
    <row r="26" spans="1:3" x14ac:dyDescent="0.25">
      <c r="A26" t="s">
        <v>239</v>
      </c>
      <c r="B26">
        <v>14</v>
      </c>
    </row>
    <row r="27" spans="1:3" x14ac:dyDescent="0.25">
      <c r="A27" t="s">
        <v>240</v>
      </c>
      <c r="B27">
        <v>11</v>
      </c>
      <c r="C27" t="s">
        <v>88</v>
      </c>
    </row>
    <row r="28" spans="1:3" x14ac:dyDescent="0.25">
      <c r="A28" t="s">
        <v>241</v>
      </c>
      <c r="B28">
        <f>B5/B27</f>
        <v>1.5454545454545454</v>
      </c>
    </row>
    <row r="29" spans="1:3" x14ac:dyDescent="0.25">
      <c r="A29" t="s">
        <v>242</v>
      </c>
      <c r="B29" s="20">
        <f>INT(B26*B28)</f>
        <v>21</v>
      </c>
    </row>
    <row r="32" spans="1:3" x14ac:dyDescent="0.25">
      <c r="A32" t="s">
        <v>243</v>
      </c>
      <c r="B32" s="11">
        <f>B23*B29*2</f>
        <v>14.074335088082277</v>
      </c>
      <c r="C32" t="s">
        <v>94</v>
      </c>
    </row>
    <row r="34" spans="1:4" x14ac:dyDescent="0.25">
      <c r="A34" t="s">
        <v>244</v>
      </c>
      <c r="B34" s="20">
        <f>B12*B13-B32</f>
        <v>232.36566491191769</v>
      </c>
      <c r="C34" t="s">
        <v>94</v>
      </c>
    </row>
    <row r="35" spans="1:4" x14ac:dyDescent="0.25">
      <c r="A35" t="s">
        <v>245</v>
      </c>
      <c r="B35" s="17">
        <f>B34/(B13*B12)</f>
        <v>0.94288940477161876</v>
      </c>
    </row>
    <row r="37" spans="1:4" x14ac:dyDescent="0.25">
      <c r="A37" t="s">
        <v>159</v>
      </c>
      <c r="B37" t="s">
        <v>246</v>
      </c>
    </row>
    <row r="39" spans="1:4" x14ac:dyDescent="0.25">
      <c r="A39" t="s">
        <v>247</v>
      </c>
      <c r="B39" s="20">
        <f>B12*B13</f>
        <v>246.43999999999997</v>
      </c>
      <c r="C39" t="s">
        <v>94</v>
      </c>
    </row>
    <row r="40" spans="1:4" x14ac:dyDescent="0.25">
      <c r="A40" t="s">
        <v>248</v>
      </c>
      <c r="B40" s="20">
        <f>B6*B5</f>
        <v>153</v>
      </c>
      <c r="C40" t="s">
        <v>94</v>
      </c>
    </row>
    <row r="41" spans="1:4" x14ac:dyDescent="0.25">
      <c r="B41" s="20"/>
    </row>
    <row r="42" spans="1:4" x14ac:dyDescent="0.25">
      <c r="A42" t="s">
        <v>249</v>
      </c>
      <c r="B42" s="20">
        <f>B39-B40-B32</f>
        <v>79.36566491191769</v>
      </c>
      <c r="C42" t="s">
        <v>94</v>
      </c>
      <c r="D42" t="s">
        <v>250</v>
      </c>
    </row>
    <row r="43" spans="1:4" s="21" customFormat="1" x14ac:dyDescent="0.25">
      <c r="A43" s="21" t="s">
        <v>251</v>
      </c>
      <c r="B43" s="22">
        <f>B42/B39</f>
        <v>0.32204863216976831</v>
      </c>
    </row>
    <row r="45" spans="1:4" x14ac:dyDescent="0.25">
      <c r="A45" t="s">
        <v>252</v>
      </c>
      <c r="B45" t="s">
        <v>253</v>
      </c>
    </row>
    <row r="47" spans="1:4" x14ac:dyDescent="0.25">
      <c r="A47" t="s">
        <v>254</v>
      </c>
      <c r="B47">
        <v>128</v>
      </c>
      <c r="C47" t="s">
        <v>94</v>
      </c>
    </row>
    <row r="48" spans="1:4" x14ac:dyDescent="0.25">
      <c r="A48" t="s">
        <v>255</v>
      </c>
      <c r="B48">
        <v>60</v>
      </c>
    </row>
    <row r="49" spans="1:6" x14ac:dyDescent="0.25">
      <c r="A49" t="s">
        <v>256</v>
      </c>
      <c r="B49">
        <v>3.02</v>
      </c>
      <c r="F49" s="11"/>
    </row>
    <row r="50" spans="1:6" x14ac:dyDescent="0.25">
      <c r="A50" t="s">
        <v>257</v>
      </c>
      <c r="B50">
        <f>B49*B48</f>
        <v>181.2</v>
      </c>
    </row>
    <row r="51" spans="1:6" x14ac:dyDescent="0.25">
      <c r="A51" t="s">
        <v>258</v>
      </c>
      <c r="B51">
        <v>2.2000000000000002</v>
      </c>
      <c r="C51" t="s">
        <v>259</v>
      </c>
    </row>
    <row r="52" spans="1:6" x14ac:dyDescent="0.25">
      <c r="A52" t="s">
        <v>260</v>
      </c>
      <c r="B52" s="11">
        <f>B51/B50</f>
        <v>1.2141280353200884E-2</v>
      </c>
      <c r="C52" t="s">
        <v>259</v>
      </c>
    </row>
    <row r="53" spans="1:6" x14ac:dyDescent="0.25">
      <c r="B53" s="11">
        <f>B52*1000</f>
        <v>12.141280353200884</v>
      </c>
      <c r="C53" t="s">
        <v>261</v>
      </c>
    </row>
    <row r="55" spans="1:6" ht="15.75" x14ac:dyDescent="0.25">
      <c r="A55" t="s">
        <v>262</v>
      </c>
      <c r="B55">
        <v>700</v>
      </c>
      <c r="C55" s="14" t="s">
        <v>122</v>
      </c>
      <c r="D55" t="s">
        <v>263</v>
      </c>
      <c r="F55" s="51" t="s">
        <v>264</v>
      </c>
    </row>
    <row r="56" spans="1:6" ht="15.75" x14ac:dyDescent="0.25">
      <c r="C56" s="14"/>
    </row>
    <row r="57" spans="1:6" x14ac:dyDescent="0.25">
      <c r="A57" t="s">
        <v>265</v>
      </c>
    </row>
    <row r="58" spans="1:6" ht="15.75" x14ac:dyDescent="0.25">
      <c r="A58" t="s">
        <v>78</v>
      </c>
      <c r="B58">
        <v>180</v>
      </c>
      <c r="C58" s="14" t="s">
        <v>266</v>
      </c>
    </row>
    <row r="59" spans="1:6" ht="15.75" x14ac:dyDescent="0.25">
      <c r="A59" t="s">
        <v>102</v>
      </c>
      <c r="B59">
        <v>138</v>
      </c>
      <c r="C59" s="14" t="s">
        <v>266</v>
      </c>
    </row>
    <row r="61" spans="1:6" x14ac:dyDescent="0.25">
      <c r="A61" t="s">
        <v>139</v>
      </c>
      <c r="B61">
        <f>B58/10*B59/10</f>
        <v>248.4</v>
      </c>
      <c r="C61" t="s">
        <v>94</v>
      </c>
    </row>
    <row r="62" spans="1:6" x14ac:dyDescent="0.25">
      <c r="A62" t="s">
        <v>267</v>
      </c>
      <c r="B62">
        <f>B61-B47</f>
        <v>120.4</v>
      </c>
      <c r="C62" t="s">
        <v>94</v>
      </c>
    </row>
    <row r="64" spans="1:6" x14ac:dyDescent="0.25">
      <c r="A64" t="s">
        <v>268</v>
      </c>
      <c r="B64" s="11">
        <f>B55/10000*B62</f>
        <v>8.4280000000000008</v>
      </c>
      <c r="C64" t="s">
        <v>269</v>
      </c>
    </row>
    <row r="65" spans="1:3" x14ac:dyDescent="0.25">
      <c r="A65" t="s">
        <v>270</v>
      </c>
      <c r="B65" s="11">
        <f>B53/B64</f>
        <v>1.4405885563835883</v>
      </c>
      <c r="C65" t="s">
        <v>271</v>
      </c>
    </row>
    <row r="67" spans="1:3" x14ac:dyDescent="0.25">
      <c r="A67" s="1" t="s">
        <v>272</v>
      </c>
    </row>
    <row r="68" spans="1:3" x14ac:dyDescent="0.25">
      <c r="A68" t="s">
        <v>273</v>
      </c>
      <c r="B68">
        <f>B55</f>
        <v>700</v>
      </c>
      <c r="C68" t="s">
        <v>107</v>
      </c>
    </row>
    <row r="69" spans="1:3" x14ac:dyDescent="0.25">
      <c r="B69" s="20"/>
    </row>
    <row r="70" spans="1:3" ht="15.75" x14ac:dyDescent="0.25">
      <c r="A70" t="s">
        <v>274</v>
      </c>
      <c r="B70" s="20">
        <f>'Cross-layer'!B26-'Cross-layer'!B24</f>
        <v>118.43999999999997</v>
      </c>
      <c r="C70" s="14" t="s">
        <v>94</v>
      </c>
    </row>
    <row r="72" spans="1:3" x14ac:dyDescent="0.25">
      <c r="A72" t="s">
        <v>275</v>
      </c>
      <c r="B72" t="s">
        <v>8</v>
      </c>
    </row>
    <row r="73" spans="1:3" x14ac:dyDescent="0.25">
      <c r="A73" t="s">
        <v>276</v>
      </c>
      <c r="B73">
        <v>1.37</v>
      </c>
      <c r="C73" t="s">
        <v>259</v>
      </c>
    </row>
    <row r="74" spans="1:3" x14ac:dyDescent="0.25">
      <c r="A74" t="s">
        <v>277</v>
      </c>
      <c r="B74" s="3">
        <f>B73/B50</f>
        <v>7.5607064017660054E-3</v>
      </c>
      <c r="C74" t="s">
        <v>278</v>
      </c>
    </row>
    <row r="75" spans="1:3" x14ac:dyDescent="0.25">
      <c r="B75" s="3">
        <f>B74*1000</f>
        <v>7.5607064017660051</v>
      </c>
      <c r="C75" t="s">
        <v>7</v>
      </c>
    </row>
    <row r="77" spans="1:3" x14ac:dyDescent="0.25">
      <c r="A77" t="s">
        <v>279</v>
      </c>
      <c r="B77">
        <v>100</v>
      </c>
      <c r="C77" t="s">
        <v>107</v>
      </c>
    </row>
    <row r="78" spans="1:3" x14ac:dyDescent="0.25">
      <c r="A78" t="s">
        <v>280</v>
      </c>
      <c r="B78">
        <f>'Manufacturing inputs'!B38</f>
        <v>153</v>
      </c>
      <c r="C78" t="s">
        <v>94</v>
      </c>
    </row>
    <row r="79" spans="1:3" x14ac:dyDescent="0.25">
      <c r="A79" t="s">
        <v>281</v>
      </c>
      <c r="B79">
        <f>B77/10000*B78</f>
        <v>1.53</v>
      </c>
      <c r="C79" t="s">
        <v>269</v>
      </c>
    </row>
    <row r="81" spans="1:3" x14ac:dyDescent="0.25">
      <c r="A81" t="s">
        <v>215</v>
      </c>
      <c r="B81" s="11">
        <f>B75/B79</f>
        <v>4.9416381710888917</v>
      </c>
      <c r="C81" t="s">
        <v>271</v>
      </c>
    </row>
  </sheetData>
  <hyperlinks>
    <hyperlink ref="F55" r:id="rId1" xr:uid="{BAA8A889-E857-4FEC-8633-F159475833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Results</vt:lpstr>
      <vt:lpstr>Manufacturing inputs</vt:lpstr>
      <vt:lpstr>Cross-layer</vt:lpstr>
      <vt:lpstr>Cell</vt:lpstr>
      <vt:lpstr>Frame</vt:lpstr>
      <vt:lpstr>Misc</vt:lpstr>
      <vt:lpstr>Manufacturing calc</vt:lpstr>
      <vt:lpstr>Materials</vt:lpstr>
      <vt:lpstr>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Frederik Skovgaard Naur</dc:creator>
  <cp:keywords/>
  <dc:description/>
  <cp:lastModifiedBy>Frederik Skovgaard Naur</cp:lastModifiedBy>
  <cp:revision/>
  <dcterms:created xsi:type="dcterms:W3CDTF">2025-07-01T07:40:19Z</dcterms:created>
  <dcterms:modified xsi:type="dcterms:W3CDTF">2026-10-17T08:38:16Z</dcterms:modified>
  <cp:category/>
  <cp:contentStatus/>
</cp:coreProperties>
</file>